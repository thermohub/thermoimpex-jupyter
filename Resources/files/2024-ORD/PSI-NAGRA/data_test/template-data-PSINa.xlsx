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ad me" sheetId="1" state="visible" r:id="rId2"/>
    <sheet name="Ref" sheetId="2" state="visible" r:id="rId3"/>
    <sheet name="Pb element" sheetId="3" state="visible" r:id="rId4"/>
    <sheet name="Pb DComp" sheetId="4" state="visible" r:id="rId5"/>
    <sheet name="Pb aq. ReacDC" sheetId="5" state="visible" r:id="rId6"/>
    <sheet name="Pb solids ReacDC" sheetId="6" state="visible" r:id="rId7"/>
    <sheet name="Pb SIT coefficients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<sst xmlns="http://schemas.openxmlformats.org/spreadsheetml/2006/main" count="741" uniqueCount="282">
  <si>
    <t xml:space="preserve">Created list of reactants for ReacDC records</t>
  </si>
  <si>
    <t xml:space="preserve">Added DComp record Pb(cr) with elemental data in order to write reaction for the formation of Pb(aq)</t>
  </si>
  <si>
    <t xml:space="preserve">Pb aq. ReacDC: Fixed typo in formation reaction for Pb2OH+3: Pb2OH3+ corrected to Pb2OH+3</t>
  </si>
  <si>
    <t xml:space="preserve">Pb aq. ReacDC: Fixed typo in formation reaction for Pb(SO4)2-2: Pb(SO4)22- corrected to Pb(SO4)2-2</t>
  </si>
  <si>
    <t xml:space="preserve">Pb SIT coefficients Fixed typo in Symbol SIT:  Pb(SO4)-2 corrected to Pb(SO4)2-2</t>
  </si>
  <si>
    <t xml:space="preserve">Pb aq. ReacDC: In Reaction: Replaced Tab by Space, deleted multiple Spaces</t>
  </si>
  <si>
    <t xml:space="preserve">Pb solids ReacDC: In Reaction: Replaced Tab by Space, deleted multiple Spaces</t>
  </si>
  <si>
    <r>
      <rPr>
        <sz val="12"/>
        <color rgb="FF000000"/>
        <rFont val="Calibri"/>
        <family val="2"/>
        <charset val="1"/>
      </rPr>
      <t xml:space="preserve">Pb solids ReacDC: Changed PbO(s,red) and PbO(s,yellow) to PbO(s</t>
    </r>
    <r>
      <rPr>
        <sz val="12"/>
        <color rgb="FFFF0000"/>
        <rFont val="Calibri (Body)"/>
        <family val="0"/>
        <charset val="1"/>
      </rPr>
      <t xml:space="preserve">_</t>
    </r>
    <r>
      <rPr>
        <sz val="12"/>
        <color rgb="FF000000"/>
        <rFont val="Calibri"/>
        <family val="2"/>
        <charset val="1"/>
      </rPr>
      <t xml:space="preserve">red) and PbO(s</t>
    </r>
    <r>
      <rPr>
        <sz val="12"/>
        <color rgb="FFFF0000"/>
        <rFont val="Calibri (Body)"/>
        <family val="0"/>
        <charset val="1"/>
      </rPr>
      <t xml:space="preserve">_</t>
    </r>
    <r>
      <rPr>
        <sz val="12"/>
        <color rgb="FF000000"/>
        <rFont val="Calibri"/>
        <family val="2"/>
        <charset val="1"/>
      </rPr>
      <t xml:space="preserve">yellow)</t>
    </r>
  </si>
  <si>
    <r>
      <rPr>
        <sz val="12"/>
        <color rgb="FF000000"/>
        <rFont val="Calibri"/>
        <family val="2"/>
        <charset val="1"/>
      </rPr>
      <t xml:space="preserve">Pb solids ReacDC: Changed PO4-2 to PO4-</t>
    </r>
    <r>
      <rPr>
        <sz val="12"/>
        <color rgb="FFFF0000"/>
        <rFont val="Calibri (Body)"/>
        <family val="0"/>
        <charset val="1"/>
      </rPr>
      <t xml:space="preserve">3</t>
    </r>
    <r>
      <rPr>
        <sz val="12"/>
        <color rgb="FF000000"/>
        <rFont val="Calibri"/>
        <family val="2"/>
        <charset val="1"/>
      </rPr>
      <t xml:space="preserve"> in reaction for Pb3(PO4)2(s) (</t>
    </r>
    <r>
      <rPr>
        <sz val="12"/>
        <color rgb="FFFF0000"/>
        <rFont val="Calibri (Body)"/>
        <family val="0"/>
        <charset val="1"/>
      </rPr>
      <t xml:space="preserve">must also be corrected in table in documentation</t>
    </r>
    <r>
      <rPr>
        <sz val="12"/>
        <color rgb="FF000000"/>
        <rFont val="Calibri"/>
        <family val="2"/>
        <charset val="1"/>
      </rPr>
      <t xml:space="preserve">)</t>
    </r>
  </si>
  <si>
    <t xml:space="preserve">Deleted space after heading "Name" in ReacDC sheets</t>
  </si>
  <si>
    <r>
      <rPr>
        <sz val="12"/>
        <color rgb="FF000000"/>
        <rFont val="Calibri"/>
        <family val="2"/>
        <charset val="1"/>
      </rPr>
      <t xml:space="preserve">Imported and tested  (save SIT data), needs
</t>
    </r>
    <r>
      <rPr>
        <b val="true"/>
        <sz val="12"/>
        <color rgb="FF000000"/>
        <rFont val="Calibri"/>
        <family val="2"/>
        <charset val="1"/>
      </rPr>
      <t xml:space="preserve">aux</t>
    </r>
  </si>
  <si>
    <t xml:space="preserve">SIT coefficients: Replaced headings with those of Zn_data.xlsx</t>
  </si>
  <si>
    <t xml:space="preserve">Imported and tested SIT data</t>
  </si>
  <si>
    <t xml:space="preserve">SIT coefficients: Implemented Match-function to check ReacDC and SIT symbols</t>
  </si>
  <si>
    <t xml:space="preserve">DComp and ReacDC: Added heading agg_state after heading Composition and entered aggregate state (aq, s, l, g)</t>
  </si>
  <si>
    <r>
      <rPr>
        <sz val="12"/>
        <color rgb="FF000000"/>
        <rFont val="Calibri"/>
        <family val="2"/>
        <charset val="1"/>
      </rPr>
      <t xml:space="preserve">Added</t>
    </r>
    <r>
      <rPr>
        <sz val="12"/>
        <color rgb="FF000000"/>
        <rFont val="Symbol"/>
        <family val="0"/>
        <charset val="2"/>
      </rPr>
      <t xml:space="preserve"> »  </t>
    </r>
    <r>
      <rPr>
        <sz val="12"/>
        <color rgb="FF000000"/>
        <rFont val="Calibri"/>
        <family val="2"/>
        <charset val="1"/>
      </rPr>
      <t xml:space="preserve">&lt;  ≤  &gt;  ≥ etc. where needed in comments</t>
    </r>
  </si>
  <si>
    <t xml:space="preserve">Pb aq. solids ReacDC: Deleted multiple spaces and trailing spaces in reactions</t>
  </si>
  <si>
    <t xml:space="preserve">SIT: Added missing name of DComp species to "Symbol_ReacDC" to avoid assignment of default value "aq_sit_psi_2020" to properties.name in ThermoMatch.</t>
  </si>
  <si>
    <t xml:space="preserve">Imported SIT data</t>
  </si>
  <si>
    <t xml:space="preserve">Pb SIT coefficients:
Deleted all entries for charged species in eps_j_NaCl, sigma_eps_j_NaCl, eps_j_NaClO4, and sigma_eps_j_NaClO4</t>
  </si>
  <si>
    <t xml:space="preserve">SIT coefficients: For neutral species j (valid for interactions with background NaCl or NaClO4) 
eps_j_Cl- = 1/2 eps_j_NaCl; sigma_eps_j_Cl- = 1/2 sigma_eps_j_NaCl
eps_j_Na+ = 1/2 eps_j_NaCl; sigma_eps_j_Na+- = 1/2 sigma_eps_j_NaCl
eps_j_ClO4- = 1/2 eps_j_NaClO4, sigma_eps_j_ClO4- = 1/2 sigma_eps_j_NaClO4
If eps_j_NaCl uneqal eps_j_NaClO4: eps_j_Na+ and sigma_eps_j_Na+ are alwas calculated rom the values for background NaCl.
If eps_j_NaCl and sigma_eps_j_NaCl are missing, the values for NaClO4 are taken and vice versa</t>
  </si>
  <si>
    <r>
      <rPr>
        <sz val="12"/>
        <color rgb="FF000000"/>
        <rFont val="Calibri"/>
        <family val="2"/>
        <charset val="1"/>
      </rPr>
      <t xml:space="preserve">Changed </t>
    </r>
    <r>
      <rPr>
        <i val="true"/>
        <sz val="12"/>
        <color rgb="FF000000"/>
        <rFont val="Calibri"/>
        <family val="2"/>
        <charset val="1"/>
      </rPr>
      <t xml:space="preserve">Pb(aq)</t>
    </r>
    <r>
      <rPr>
        <sz val="12"/>
        <color rgb="FF000000"/>
        <rFont val="Calibri"/>
        <family val="2"/>
        <charset val="1"/>
      </rPr>
      <t xml:space="preserve"> to </t>
    </r>
    <r>
      <rPr>
        <i val="true"/>
        <sz val="12"/>
        <color rgb="FF000000"/>
        <rFont val="Calibri"/>
        <family val="2"/>
        <charset val="1"/>
      </rPr>
      <t xml:space="preserve">Pb</t>
    </r>
    <r>
      <rPr>
        <i val="true"/>
        <sz val="12"/>
        <color rgb="FFFF0000"/>
        <rFont val="Calibri (Body)"/>
        <family val="0"/>
        <charset val="1"/>
      </rPr>
      <t xml:space="preserve">|0|</t>
    </r>
    <r>
      <rPr>
        <i val="true"/>
        <sz val="12"/>
        <color rgb="FF000000"/>
        <rFont val="Calibri"/>
        <family val="2"/>
        <charset val="1"/>
      </rPr>
      <t xml:space="preserve">(aq)</t>
    </r>
  </si>
  <si>
    <t xml:space="preserve">To do</t>
  </si>
  <si>
    <t xml:space="preserve">Check Tmin if ∆rH is given but not ∆rCp  </t>
  </si>
  <si>
    <t xml:space="preserve">Label core data</t>
  </si>
  <si>
    <t xml:space="preserve">Label supplemental data</t>
  </si>
  <si>
    <t xml:space="preserve">Ref_abb</t>
  </si>
  <si>
    <t xml:space="preserve">Ref_full</t>
  </si>
  <si>
    <t xml:space="preserve">1989COX/WAG</t>
  </si>
  <si>
    <t xml:space="preserve">Cox, J.D., Wagman, D.D., Medvedev, V.A. (1989): CODATA Key Values for Thermodynamics. New York, Hemisphere Publishing, 271 pp.</t>
  </si>
  <si>
    <t xml:space="preserve">2009POW/BRO</t>
  </si>
  <si>
    <t xml:space="preserve">Powell, K.J., Brown, P.L., Byrne, R.H., Gajda, T., Hefter, G., Leuz, A.-K., Sjöberg, S. &amp; Wanner, H. (2009): Chemical speciation of environmentally significant metals with inorganic ligands. Part 3: The Hg2+ + OH-, Cl-, CO32-, SO42-, and PO43- systems. Pure Appl. Chem., 81, 2425-2476.</t>
  </si>
  <si>
    <t xml:space="preserve">2016BRO/EKB</t>
  </si>
  <si>
    <t xml:space="preserve">Brown, P.L. &amp; Ekberg, C. (2016): Hydrolysis of Metal Ions. Wiley-VCH Verlag GmbH &amp; Co. KGaA, Weinheim, Germany, 917 pp.</t>
  </si>
  <si>
    <t xml:space="preserve">1984SEW</t>
  </si>
  <si>
    <t xml:space="preserve">Seward, T.M. (1984): The formation of lead(II) chloride complexes to 300°C: A spectrophotometric study. Geochim. Cosmochim. Acta, 48, 121-134.</t>
  </si>
  <si>
    <t xml:space="preserve">2023HUM/THO</t>
  </si>
  <si>
    <t xml:space="preserve">Hummel W. and Thoenen T. (2023): The PSI Chemical Thermodynamic Database 2020. Nagra Thechnical Report 21-03</t>
  </si>
  <si>
    <t xml:space="preserve">2013LEM/BER</t>
  </si>
  <si>
    <t xml:space="preserve">Lemire, R.J., Berner, U., Musikas, C., Palmer, D.A., Taylor, P. &amp; Tochiyama, O. (2013): Chemical Thermodynamics of Iron, Part 1. Chemical Thermodynamics, Vol. 13a. OECD Publications, Paris, France, 1082 pp.</t>
  </si>
  <si>
    <t xml:space="preserve">Symbol</t>
  </si>
  <si>
    <t xml:space="preserve">Name</t>
  </si>
  <si>
    <t xml:space="preserve">Composition</t>
  </si>
  <si>
    <t xml:space="preserve">DfGm [kJ/mol]</t>
  </si>
  <si>
    <t xml:space="preserve">sigma DfGm [kJ/mol]</t>
  </si>
  <si>
    <t xml:space="preserve">DfHm [kJ/mol]</t>
  </si>
  <si>
    <t xml:space="preserve">sigma DfHm [kJ/mol]</t>
  </si>
  <si>
    <t xml:space="preserve">Sm [J/(K mol)]</t>
  </si>
  <si>
    <t xml:space="preserve">sigma Sm [J/(K mol)]</t>
  </si>
  <si>
    <t xml:space="preserve">Sm_Ref</t>
  </si>
  <si>
    <t xml:space="preserve">Sm_Page</t>
  </si>
  <si>
    <t xml:space="preserve">Cpm [J/(K mol)]</t>
  </si>
  <si>
    <t xml:space="preserve">sigma Cpm [J/(K mol)]</t>
  </si>
  <si>
    <t xml:space="preserve">Cp_Ref</t>
  </si>
  <si>
    <t xml:space="preserve">Cp_Page</t>
  </si>
  <si>
    <t xml:space="preserve">Pb</t>
  </si>
  <si>
    <t xml:space="preserve">Lead</t>
  </si>
  <si>
    <t xml:space="preserve">2023HUM/THO 487</t>
  </si>
  <si>
    <r>
      <rPr>
        <sz val="12"/>
        <color rgb="FF000000"/>
        <rFont val="Calibri"/>
        <family val="2"/>
      </rPr>
      <t xml:space="preserve">2023HUM/THO </t>
    </r>
    <r>
      <rPr>
        <sz val="12"/>
        <color rgb="FF000000"/>
        <rFont val="Calibri"/>
        <family val="2"/>
        <charset val="1"/>
      </rPr>
      <t xml:space="preserve">487</t>
    </r>
  </si>
  <si>
    <t xml:space="preserve">agg_state</t>
  </si>
  <si>
    <t xml:space="preserve">DfGm_Ref</t>
  </si>
  <si>
    <t xml:space="preserve">DfGm_Page_2023HUM/THO</t>
  </si>
  <si>
    <t xml:space="preserve">DfHm_Ref</t>
  </si>
  <si>
    <t xml:space="preserve">DfHm_Page_2023HUM/THO</t>
  </si>
  <si>
    <t xml:space="preserve">Sm_Page_2023HUM/THO</t>
  </si>
  <si>
    <t xml:space="preserve">Cpm_Ref</t>
  </si>
  <si>
    <t xml:space="preserve">Pb+2</t>
  </si>
  <si>
    <t xml:space="preserve">aq</t>
  </si>
  <si>
    <t xml:space="preserve">PbSO4(cr)</t>
  </si>
  <si>
    <t xml:space="preserve">PbSO4</t>
  </si>
  <si>
    <t xml:space="preserve">s</t>
  </si>
  <si>
    <t xml:space="preserve">Pb(cr)</t>
  </si>
  <si>
    <t xml:space="preserve">Pb|0|</t>
  </si>
  <si>
    <t xml:space="preserve">logK</t>
  </si>
  <si>
    <t xml:space="preserve">sigma logK</t>
  </si>
  <si>
    <t xml:space="preserve">logK_Ref</t>
  </si>
  <si>
    <t xml:space="preserve">Page_2023HUM/THO</t>
  </si>
  <si>
    <t xml:space="preserve">DrHm [kJ/mol]</t>
  </si>
  <si>
    <t xml:space="preserve">sigma DrHm [kJ/mol]</t>
  </si>
  <si>
    <t xml:space="preserve">DrHm_Ref</t>
  </si>
  <si>
    <t xml:space="preserve">DrCpm [J/(K mol)]</t>
  </si>
  <si>
    <t xml:space="preserve">sigma DrCpm [J/(K mol)]</t>
  </si>
  <si>
    <t xml:space="preserve">DrCpm_Ref</t>
  </si>
  <si>
    <t xml:space="preserve">T-min</t>
  </si>
  <si>
    <t xml:space="preserve">T-max</t>
  </si>
  <si>
    <t xml:space="preserve">Reaction</t>
  </si>
  <si>
    <t xml:space="preserve">List of reactants</t>
  </si>
  <si>
    <r>
      <rPr>
        <i val="true"/>
        <sz val="10"/>
        <color rgb="FF000000"/>
        <rFont val="Symbol"/>
        <family val="0"/>
        <charset val="2"/>
      </rPr>
      <t xml:space="preserve">»</t>
    </r>
    <r>
      <rPr>
        <i val="true"/>
        <sz val="10"/>
        <color rgb="FF000000"/>
        <rFont val="Times New Roman"/>
        <family val="1"/>
        <charset val="1"/>
      </rPr>
      <t xml:space="preserve"> -7.3</t>
    </r>
  </si>
  <si>
    <t xml:space="preserve">Pb(aq)</t>
  </si>
  <si>
    <r>
      <rPr>
        <i val="true"/>
        <sz val="12"/>
        <color rgb="FF000000"/>
        <rFont val="Calibri"/>
        <family val="2"/>
        <charset val="1"/>
      </rPr>
      <t xml:space="preserve">Pb</t>
    </r>
    <r>
      <rPr>
        <i val="true"/>
        <sz val="12"/>
        <color rgb="FFFF0000"/>
        <rFont val="Calibri (Body)"/>
        <family val="0"/>
        <charset val="1"/>
      </rPr>
      <t xml:space="preserve">|0|</t>
    </r>
    <r>
      <rPr>
        <i val="true"/>
        <sz val="12"/>
        <color rgb="FF000000"/>
        <rFont val="Calibri"/>
        <family val="2"/>
        <charset val="1"/>
      </rPr>
      <t xml:space="preserve">(aq)</t>
    </r>
  </si>
  <si>
    <t xml:space="preserve">1 Pb(cr) = Pb(aq)</t>
  </si>
  <si>
    <t xml:space="preserve">Pb(cr) ⇌ Pb(aq)</t>
  </si>
  <si>
    <t xml:space="preserve">1 Pb(cr)= Pb(aq)</t>
  </si>
  <si>
    <t xml:space="preserve">=</t>
  </si>
  <si>
    <t xml:space="preserve">Cl-</t>
  </si>
  <si>
    <t xml:space="preserve">PbOH+</t>
  </si>
  <si>
    <t xml:space="preserve">1 Pb+2 1 H2O(l) -1 H+ = PbOH+</t>
  </si>
  <si>
    <t xml:space="preserve">Pb2+ + H2O(l) ⇌ PbOH+ + H+</t>
  </si>
  <si>
    <t xml:space="preserve">1 Pb+2 +1 H2O(l) -1 H+ = PbOH+</t>
  </si>
  <si>
    <t xml:space="preserve">H2O(l)</t>
  </si>
  <si>
    <t xml:space="preserve">H+</t>
  </si>
  <si>
    <t xml:space="preserve">CO3-2</t>
  </si>
  <si>
    <t xml:space="preserve">Pb(OH)2(aq)</t>
  </si>
  <si>
    <t xml:space="preserve">1 Pb+2 2 H2O(l) -2 H+ = Pb(OH)2(aq)</t>
  </si>
  <si>
    <t xml:space="preserve">Pb2+ + 2 H2O(l) ⇌ Pb(OH)2(aq) + 2 H+</t>
  </si>
  <si>
    <t xml:space="preserve">1 Pb+2 +2 H2O(l) -2 H+ = Pb(OH)2(aq)</t>
  </si>
  <si>
    <t xml:space="preserve">Pb(OH)3-</t>
  </si>
  <si>
    <t xml:space="preserve">1 Pb+2 3 H2O(l) -3 H+ = Pb(OH)3-</t>
  </si>
  <si>
    <t xml:space="preserve">Pb2+ + 3 H2O(l) ⇌ Pb(OH)3- + 3 H+</t>
  </si>
  <si>
    <t xml:space="preserve">1 Pb+2 +3 H2O(l) -3 H+ = Pb(OH)3-</t>
  </si>
  <si>
    <t xml:space="preserve">Pb2OH+3</t>
  </si>
  <si>
    <t xml:space="preserve">2 Pb+2 1 H2O(l) -1 H+ = Pb2OH+3</t>
  </si>
  <si>
    <t xml:space="preserve">2 Pb2+ + H2O(l) ⇌ Pb2OH+3 + H+</t>
  </si>
  <si>
    <t xml:space="preserve">2 Pb+2 +1 H2O(l) -1 H+ = Pb2OH+3</t>
  </si>
  <si>
    <t xml:space="preserve">H2PO4-</t>
  </si>
  <si>
    <t xml:space="preserve">Pb3(OH)4+2</t>
  </si>
  <si>
    <t xml:space="preserve">3 Pb+2 4 H2O(l) -4 H+ = Pb3(OH)4+2</t>
  </si>
  <si>
    <t xml:space="preserve">3 Pb2+ + 4 H2O(l) ⇌ Pb3(OH)42+ + 4 H+</t>
  </si>
  <si>
    <t xml:space="preserve">3 Pb+2 +4 H2O(l) -4 H+ = Pb3(OH)4+2</t>
  </si>
  <si>
    <t xml:space="preserve">HCO3-</t>
  </si>
  <si>
    <t xml:space="preserve">Pb4(OH)4+4</t>
  </si>
  <si>
    <t xml:space="preserve">4 Pb+2 4 H2O(l) -4 H+ = Pb4(OH)4+4</t>
  </si>
  <si>
    <t xml:space="preserve">4 Pb2+ + 4 H2O(l) ⇌ Pb4(OH)44+ + 4 H+</t>
  </si>
  <si>
    <t xml:space="preserve">4 Pb+2 +4 H2O(l) -4 H+ = Pb4(OH)4+4</t>
  </si>
  <si>
    <t xml:space="preserve">HPO4-2</t>
  </si>
  <si>
    <t xml:space="preserve">Pb6(OH)8+4</t>
  </si>
  <si>
    <t xml:space="preserve">6 Pb+2 8 H2O(l) -8 H+ = Pb6(OH)8+4</t>
  </si>
  <si>
    <t xml:space="preserve">6 Pb2+ + 8 H2O(l) ⇌ Pb6(OH)84+ + 8 H+</t>
  </si>
  <si>
    <t xml:space="preserve">6 Pb+2 +8 H2O(l) -8 H+ = Pb6(OH)8+4</t>
  </si>
  <si>
    <t xml:space="preserve">HS-</t>
  </si>
  <si>
    <t xml:space="preserve">PbCl+</t>
  </si>
  <si>
    <t xml:space="preserve">1 Pb+2 1 Cl- = PbCl+</t>
  </si>
  <si>
    <t xml:space="preserve">Pb2+ + Cl- ⇌ PbCl+</t>
  </si>
  <si>
    <t xml:space="preserve">1 Pb+2 +1 Cl- = PbCl+</t>
  </si>
  <si>
    <t xml:space="preserve">OH-</t>
  </si>
  <si>
    <t xml:space="preserve">PbCl2(aq)</t>
  </si>
  <si>
    <t xml:space="preserve">1 Pb+2 2 Cl- = PbCl2(aq)</t>
  </si>
  <si>
    <t xml:space="preserve">Pb2+ + 2 Cl- ⇌ PbCl2(aq)</t>
  </si>
  <si>
    <t xml:space="preserve">1 Pb+2 +2 Cl- = PbCl2(aq)</t>
  </si>
  <si>
    <t xml:space="preserve">PbCl3-</t>
  </si>
  <si>
    <t xml:space="preserve">1 Pb+2 3 Cl- = PbCl3-</t>
  </si>
  <si>
    <t xml:space="preserve">Pb2+ + 3 Cl- ⇌ PbCl3-</t>
  </si>
  <si>
    <t xml:space="preserve">1 Pb+2 +3 Cl- = PbCl3-</t>
  </si>
  <si>
    <t xml:space="preserve">PbCl4-2</t>
  </si>
  <si>
    <t xml:space="preserve">1 Pb+2 4 Cl- = PbCl4-2</t>
  </si>
  <si>
    <t xml:space="preserve">Pb2+ + 4 Cl- ⇌ PbCl42-</t>
  </si>
  <si>
    <t xml:space="preserve">1 Pb+2 +4 Cl- = PbCl4-2</t>
  </si>
  <si>
    <t xml:space="preserve">SO4-2</t>
  </si>
  <si>
    <t xml:space="preserve">PbCO3(aq)</t>
  </si>
  <si>
    <t xml:space="preserve">1 Pb+2 1 CO3-2 = PbCO3(aq)</t>
  </si>
  <si>
    <t xml:space="preserve">Pb2+ + CO32- ⇌ PbCO3(aq)</t>
  </si>
  <si>
    <t xml:space="preserve">1 Pb+2 +1 CO3-2 = PbCO3(aq)</t>
  </si>
  <si>
    <t xml:space="preserve">Pb(CO3)2-2</t>
  </si>
  <si>
    <t xml:space="preserve">1 Pb+2 2 CO3-2 = Pb(CO3)2-2</t>
  </si>
  <si>
    <t xml:space="preserve">Pb2+ + 2 CO32- ⇌ Pb(CO3)22-</t>
  </si>
  <si>
    <t xml:space="preserve">1 Pb+2 +2 CO3-2 = Pb(CO3)2-2</t>
  </si>
  <si>
    <t xml:space="preserve">PbHCO3+</t>
  </si>
  <si>
    <t xml:space="preserve">1 Pb+2 1 HCO3- = PbHCO3+</t>
  </si>
  <si>
    <t xml:space="preserve">Pb2+ + HCO3- ⇌ PbHCO3+</t>
  </si>
  <si>
    <t xml:space="preserve">1 Pb+2 +1 HCO3- = PbHCO3+</t>
  </si>
  <si>
    <t xml:space="preserve">Pb(CO3)OH-</t>
  </si>
  <si>
    <t xml:space="preserve">1 Pb+2 1 CO3-2 1 OH- = Pb(CO3)OH-</t>
  </si>
  <si>
    <t xml:space="preserve">Pb2+ + CO32- + OH- ⇌ Pb(CO3)OH-</t>
  </si>
  <si>
    <t xml:space="preserve">1 Pb+2 +1 CO3-2 +1 OH- = Pb(CO3)OH-</t>
  </si>
  <si>
    <t xml:space="preserve">Pb(CO3)Cl-</t>
  </si>
  <si>
    <t xml:space="preserve">1 Pb+2 1 CO3-2 1 Cl- = Pb(CO3)Cl-</t>
  </si>
  <si>
    <t xml:space="preserve">Pb2+ + CO32- + Cl- ⇌ Pb(CO3)Cl-</t>
  </si>
  <si>
    <t xml:space="preserve">1 Pb+2 +1 CO3-2 +1 Cl- = Pb(CO3)Cl-</t>
  </si>
  <si>
    <t xml:space="preserve">PbHPO4(aq)</t>
  </si>
  <si>
    <t xml:space="preserve">1 Pb+2 1 HPO4-2 = PbHPO4(aq)</t>
  </si>
  <si>
    <t xml:space="preserve">Pb2+ + HPO42- ⇌ PbHPO4(aq)</t>
  </si>
  <si>
    <t xml:space="preserve">1 Pb+2 +1 HPO4-2 = PbHPO4(aq)</t>
  </si>
  <si>
    <r>
      <rPr>
        <i val="true"/>
        <sz val="10"/>
        <color rgb="FF000000"/>
        <rFont val="Symbol"/>
        <family val="0"/>
        <charset val="2"/>
      </rPr>
      <t xml:space="preserve">»</t>
    </r>
    <r>
      <rPr>
        <i val="true"/>
        <sz val="10"/>
        <color rgb="FF000000"/>
        <rFont val="Times New Roman"/>
        <family val="1"/>
        <charset val="1"/>
      </rPr>
      <t xml:space="preserve"> 6.5</t>
    </r>
  </si>
  <si>
    <t xml:space="preserve">Pb(HPO4)2-2</t>
  </si>
  <si>
    <t xml:space="preserve">1 Pb+2 2 HPO4-2 = Pb(HPO4)2-2</t>
  </si>
  <si>
    <t xml:space="preserve">Pb2+ + 2 HPO42- ⇌ Pb(HPO4)2-2</t>
  </si>
  <si>
    <t xml:space="preserve">1 Pb+2 +2 HPO4-2 = Pb(HPO4)2-2</t>
  </si>
  <si>
    <r>
      <rPr>
        <i val="true"/>
        <sz val="10"/>
        <color rgb="FF000000"/>
        <rFont val="Symbol"/>
        <family val="0"/>
        <charset val="2"/>
      </rPr>
      <t xml:space="preserve">»</t>
    </r>
    <r>
      <rPr>
        <i val="true"/>
        <sz val="10"/>
        <color rgb="FF000000"/>
        <rFont val="Times New Roman"/>
        <family val="1"/>
        <charset val="1"/>
      </rPr>
      <t xml:space="preserve"> 2.8</t>
    </r>
  </si>
  <si>
    <t xml:space="preserve">PbH2PO4+</t>
  </si>
  <si>
    <t xml:space="preserve">1 Pb+2 1 H2PO4- = PbH2PO4+</t>
  </si>
  <si>
    <t xml:space="preserve">Pb2+ + H2PO4- ⇌ PbH2PO4+</t>
  </si>
  <si>
    <t xml:space="preserve">1 Pb+2 +1 H2PO4- = PbH2PO4+</t>
  </si>
  <si>
    <t xml:space="preserve">PbSO4(aq)</t>
  </si>
  <si>
    <t xml:space="preserve">1 Pb+2 1 SO4-2 = PbSO4(aq)</t>
  </si>
  <si>
    <t xml:space="preserve">Pb2+ + SO42- ⇌ PbSO4(aq)</t>
  </si>
  <si>
    <t xml:space="preserve">1 Pb+2 +1 SO4-2 = PbSO4(aq)</t>
  </si>
  <si>
    <t xml:space="preserve">Pb(SO4)2-2</t>
  </si>
  <si>
    <t xml:space="preserve">1 Pb+2 2 SO4-2 = Pb(SO4)2-2</t>
  </si>
  <si>
    <t xml:space="preserve">Pb2+ + 2 SO42- ⇌ Pb(SO4)2-2</t>
  </si>
  <si>
    <t xml:space="preserve">1 Pb+2 +2 SO4-2 = Pb(SO4)2-2</t>
  </si>
  <si>
    <r>
      <rPr>
        <i val="true"/>
        <sz val="10"/>
        <color rgb="FF000000"/>
        <rFont val="Symbol"/>
        <family val="0"/>
        <charset val="2"/>
      </rPr>
      <t xml:space="preserve">»</t>
    </r>
    <r>
      <rPr>
        <i val="true"/>
        <sz val="10"/>
        <color rgb="FF000000"/>
        <rFont val="Times New Roman"/>
        <family val="1"/>
        <charset val="1"/>
      </rPr>
      <t xml:space="preserve"> 12.5</t>
    </r>
  </si>
  <si>
    <t xml:space="preserve">Pb(HS)2(aq)</t>
  </si>
  <si>
    <t xml:space="preserve">Pb(HS|-2|)2(aq)</t>
  </si>
  <si>
    <t xml:space="preserve">1 Pb+2 2 HS- = Pb(HS)2(aq)</t>
  </si>
  <si>
    <t xml:space="preserve">Pb2+ + 2 HS- ⇌ Pb(HS)2(aq)</t>
  </si>
  <si>
    <t xml:space="preserve">1 Pb+2 +2 HS- = Pb(HS)2(aq)</t>
  </si>
  <si>
    <r>
      <rPr>
        <i val="true"/>
        <sz val="10"/>
        <color rgb="FF000000"/>
        <rFont val="Symbol"/>
        <family val="0"/>
        <charset val="2"/>
      </rPr>
      <t xml:space="preserve">»</t>
    </r>
    <r>
      <rPr>
        <i val="true"/>
        <sz val="10"/>
        <color rgb="FF000000"/>
        <rFont val="Times New Roman"/>
        <family val="1"/>
        <charset val="1"/>
      </rPr>
      <t xml:space="preserve"> 6.1</t>
    </r>
  </si>
  <si>
    <t xml:space="preserve">PbS(HS)-</t>
  </si>
  <si>
    <t xml:space="preserve">PbS|-2|(HS|-2|)-</t>
  </si>
  <si>
    <t xml:space="preserve">1 Pb+2 2 HS- -1 H+ = PbS(HS)-</t>
  </si>
  <si>
    <t xml:space="preserve">Pb2+ + 2 HS- ⇌ PbS(HS)- + H+</t>
  </si>
  <si>
    <t xml:space="preserve">1 Pb+2 +2 HS- -1 H+ = PbS(HS)-</t>
  </si>
  <si>
    <r>
      <rPr>
        <sz val="12"/>
        <color rgb="FF000000"/>
        <rFont val="Calibri"/>
        <family val="2"/>
        <charset val="1"/>
      </rPr>
      <t xml:space="preserve">PbO(s</t>
    </r>
    <r>
      <rPr>
        <sz val="12"/>
        <color rgb="FFFF0000"/>
        <rFont val="Calibri (Body)"/>
        <family val="0"/>
        <charset val="1"/>
      </rPr>
      <t xml:space="preserve">_</t>
    </r>
    <r>
      <rPr>
        <sz val="12"/>
        <color rgb="FF000000"/>
        <rFont val="Calibri"/>
        <family val="2"/>
        <charset val="1"/>
      </rPr>
      <t xml:space="preserve">red)</t>
    </r>
  </si>
  <si>
    <t xml:space="preserve">PbO</t>
  </si>
  <si>
    <t xml:space="preserve">1 Pb+2 1 H2O(l) -2 H+ = PbO(s_red)</t>
  </si>
  <si>
    <t xml:space="preserve">PbO(s,red) = 1 Pb+2 +1 H2O(l) -2 H+</t>
  </si>
  <si>
    <t xml:space="preserve">PbO(s,red)</t>
  </si>
  <si>
    <r>
      <rPr>
        <sz val="12"/>
        <color rgb="FF000000"/>
        <rFont val="Calibri"/>
        <family val="2"/>
        <charset val="1"/>
      </rPr>
      <t xml:space="preserve">PbO(s</t>
    </r>
    <r>
      <rPr>
        <sz val="12"/>
        <color rgb="FFFF0000"/>
        <rFont val="Calibri (Body)"/>
        <family val="0"/>
        <charset val="1"/>
      </rPr>
      <t xml:space="preserve">_</t>
    </r>
    <r>
      <rPr>
        <sz val="12"/>
        <color rgb="FF000000"/>
        <rFont val="Calibri"/>
        <family val="2"/>
        <charset val="1"/>
      </rPr>
      <t xml:space="preserve">yellow)</t>
    </r>
  </si>
  <si>
    <t xml:space="preserve">1 Pb+2 1 H2O(l) -2 H+ = PbO(s_yellow)</t>
  </si>
  <si>
    <t xml:space="preserve">PbO(s)(yellow) = 1 Pb+2 +1 H2O(l) -2 H+</t>
  </si>
  <si>
    <t xml:space="preserve">PbO(s)(yellow)</t>
  </si>
  <si>
    <r>
      <rPr>
        <i val="true"/>
        <sz val="10"/>
        <color rgb="FF000000"/>
        <rFont val="Symbol"/>
        <family val="0"/>
        <charset val="2"/>
      </rPr>
      <t xml:space="preserve">»</t>
    </r>
    <r>
      <rPr>
        <i val="true"/>
        <sz val="10"/>
        <color rgb="FF000000"/>
        <rFont val="Times New Roman"/>
        <family val="1"/>
        <charset val="1"/>
      </rPr>
      <t xml:space="preserve"> 13.27</t>
    </r>
  </si>
  <si>
    <t xml:space="preserve">PbClOH(s)</t>
  </si>
  <si>
    <t xml:space="preserve">PbClOH</t>
  </si>
  <si>
    <t xml:space="preserve">1 Pb+2 1 Cl- 1 OH- = PbClOH(s)</t>
  </si>
  <si>
    <t xml:space="preserve">PbClOH(s)  =  1 Pb+2 +1 Cl- +1 OH-</t>
  </si>
  <si>
    <t xml:space="preserve">PbCO3(s)</t>
  </si>
  <si>
    <t xml:space="preserve">PbCO3</t>
  </si>
  <si>
    <t xml:space="preserve">1 Pb+2 1 CO3-2 = PbCO3(s)</t>
  </si>
  <si>
    <t xml:space="preserve">PbCO3(s) = 1 Pb+2 +1 CO3-2</t>
  </si>
  <si>
    <t xml:space="preserve">Pb2(CO3)Cl2(s)</t>
  </si>
  <si>
    <t xml:space="preserve">Pb2(CO3)Cl2</t>
  </si>
  <si>
    <t xml:space="preserve">2 Pb+2 1 CO3-2 2 Cl- = Pb2(CO3)Cl2(s)</t>
  </si>
  <si>
    <t xml:space="preserve">Pb2(CO3)Cl2(s) = 2 Pb+2 +1 CO3-2 +2 Cl-</t>
  </si>
  <si>
    <t xml:space="preserve">PbHPO4(s)</t>
  </si>
  <si>
    <t xml:space="preserve">PbHPO4</t>
  </si>
  <si>
    <t xml:space="preserve">1 Pb+2 1 HPO4-2 = PbHPO4(s)</t>
  </si>
  <si>
    <t xml:space="preserve">PbHPO4(s) =  1 Pb+2 +1 HPO4-2</t>
  </si>
  <si>
    <t xml:space="preserve">Pb3(PO4)2(s)</t>
  </si>
  <si>
    <t xml:space="preserve">Pb3(PO4)2</t>
  </si>
  <si>
    <r>
      <rPr>
        <sz val="12"/>
        <color rgb="FF000000"/>
        <rFont val="Calibri"/>
        <family val="2"/>
        <charset val="1"/>
      </rPr>
      <t xml:space="preserve">3 Pb+2 2 PO4-</t>
    </r>
    <r>
      <rPr>
        <sz val="12"/>
        <color rgb="FFFF0000"/>
        <rFont val="Calibri (Body)"/>
        <family val="0"/>
        <charset val="1"/>
      </rPr>
      <t xml:space="preserve">3</t>
    </r>
    <r>
      <rPr>
        <sz val="12"/>
        <color rgb="FF000000"/>
        <rFont val="Calibri"/>
        <family val="2"/>
        <charset val="1"/>
      </rPr>
      <t xml:space="preserve"> = Pb3(PO4)2(s)</t>
    </r>
  </si>
  <si>
    <r>
      <rPr>
        <sz val="12"/>
        <color rgb="FF000000"/>
        <rFont val="Calibri"/>
        <family val="2"/>
        <charset val="1"/>
      </rPr>
      <t xml:space="preserve">Pb3(PO4)2(s) =  3 Pb+2 +2 PO4-</t>
    </r>
    <r>
      <rPr>
        <sz val="12"/>
        <color rgb="FFFF0000"/>
        <rFont val="Calibri (Body)"/>
        <family val="0"/>
        <charset val="1"/>
      </rPr>
      <t xml:space="preserve">3</t>
    </r>
  </si>
  <si>
    <r>
      <rPr>
        <sz val="12"/>
        <color rgb="FF000000"/>
        <rFont val="Calibri"/>
        <family val="2"/>
        <charset val="1"/>
      </rPr>
      <t xml:space="preserve">PO4-</t>
    </r>
    <r>
      <rPr>
        <sz val="12"/>
        <color rgb="FFFF0000"/>
        <rFont val="Calibri (Body)"/>
        <family val="0"/>
        <charset val="1"/>
      </rPr>
      <t xml:space="preserve">3</t>
    </r>
  </si>
  <si>
    <t xml:space="preserve">Pb5(PO4)3Cl(s)</t>
  </si>
  <si>
    <t xml:space="preserve">Pb5(PO4)3Cl</t>
  </si>
  <si>
    <t xml:space="preserve">5 Pb+2 3 PO4-3 1 Cl- = Pb5(PO4)3Cl(s)</t>
  </si>
  <si>
    <t xml:space="preserve">Pb5(PO4)3Cl(s) =  5 Pb+2 +3 PO4-3 +1 Cl-</t>
  </si>
  <si>
    <t xml:space="preserve">PO4-3</t>
  </si>
  <si>
    <t xml:space="preserve">PbS(s)</t>
  </si>
  <si>
    <t xml:space="preserve">PbS|-2|</t>
  </si>
  <si>
    <t xml:space="preserve">1 Pb+2 1 HS- -1 H+ = PbS(s)</t>
  </si>
  <si>
    <t xml:space="preserve">PbS(s)  =  1 Pb+2 +1 HS- -1 H+</t>
  </si>
  <si>
    <t xml:space="preserve">Not imported</t>
  </si>
  <si>
    <t xml:space="preserve">Imported doubled reaction, see above</t>
  </si>
  <si>
    <t xml:space="preserve">1	Pb+2	+	0.5	CO32-	1	Cl-	=	0.5	Pb2(CO3)Cl2(s)</t>
  </si>
  <si>
    <t xml:space="preserve">0.5 Pb2(CO3)Cl2(s) = 1 Pb+2 + 0.5 CO32- + Cl-</t>
  </si>
  <si>
    <t xml:space="preserve">+</t>
  </si>
  <si>
    <t xml:space="preserve">CO32-</t>
  </si>
  <si>
    <t xml:space="preserve">0.5 Pb2(CO3)Cl2(s)</t>
  </si>
  <si>
    <t xml:space="preserve">Symbol match</t>
  </si>
  <si>
    <t xml:space="preserve">#_ReacDC</t>
  </si>
  <si>
    <t xml:space="preserve">Symbol_ReacDC</t>
  </si>
  <si>
    <t xml:space="preserve">#_SIT</t>
  </si>
  <si>
    <t xml:space="preserve">Symbol_SIT</t>
  </si>
  <si>
    <t xml:space="preserve">eps_j_Cl-</t>
  </si>
  <si>
    <t xml:space="preserve">sigma_eps_j_Cl-</t>
  </si>
  <si>
    <t xml:space="preserve">eps_j_Cl-_Ref</t>
  </si>
  <si>
    <t xml:space="preserve">eps_j_ClO4-</t>
  </si>
  <si>
    <t xml:space="preserve">sigma_eps_j_ClO4-</t>
  </si>
  <si>
    <t xml:space="preserve">eps_j_ClO4-_Ref</t>
  </si>
  <si>
    <t xml:space="preserve">Ref_source_data</t>
  </si>
  <si>
    <t xml:space="preserve">eps_j_NO3-</t>
  </si>
  <si>
    <t xml:space="preserve">sigma_eps_j_NO3-</t>
  </si>
  <si>
    <t xml:space="preserve">eps_j_NO3-_Ref</t>
  </si>
  <si>
    <t xml:space="preserve">eps_j_Li+</t>
  </si>
  <si>
    <t xml:space="preserve">sigma_eps_j_Li+</t>
  </si>
  <si>
    <t xml:space="preserve">eps_j_Li+_Ref</t>
  </si>
  <si>
    <t xml:space="preserve">eps_j_Na+</t>
  </si>
  <si>
    <t xml:space="preserve">sigma_eps_j_Na+</t>
  </si>
  <si>
    <t xml:space="preserve">eps_j_Na+_Ref</t>
  </si>
  <si>
    <t xml:space="preserve">eps_j_K+</t>
  </si>
  <si>
    <t xml:space="preserve">sigma_eps_j_K+</t>
  </si>
  <si>
    <t xml:space="preserve">eps_j_K+_Ref</t>
  </si>
  <si>
    <t xml:space="preserve">eps_j_NaCl</t>
  </si>
  <si>
    <t xml:space="preserve">sigma_eps_j_NaCl</t>
  </si>
  <si>
    <t xml:space="preserve">eps_j_NaCl_Ref</t>
  </si>
  <si>
    <t xml:space="preserve">eps_j_NaClO4</t>
  </si>
  <si>
    <t xml:space="preserve">sigma_eps_j_NaClO4</t>
  </si>
  <si>
    <t xml:space="preserve">eps_j_NaClO4_Ref</t>
  </si>
  <si>
    <t xml:space="preserve">DComp</t>
  </si>
  <si>
    <t xml:space="preserve">is not in agreement with 2023HUM/THO - there is only eps for NaCl and NaClO4, but not separately for Cl- ClO4- and Na+, is there a formula of summation?</t>
  </si>
  <si>
    <t xml:space="preserve">…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</si>
</sst>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9]d\-mmm\-yyyy;@"/>
    <numFmt numFmtId="166" formatCode="@"/>
    <numFmt numFmtId="167" formatCode="General"/>
  </numFmts>
  <fonts count="15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FF0000"/>
      <name val="Calibri (Body)"/>
      <family val="0"/>
      <charset val="1"/>
    </font>
    <font>
      <b val="true"/>
      <sz val="12"/>
      <color rgb="FF000000"/>
      <name val="Calibri"/>
      <family val="2"/>
      <charset val="1"/>
    </font>
    <font>
      <sz val="12"/>
      <color rgb="FF000000"/>
      <name val="Symbol"/>
      <family val="0"/>
      <charset val="2"/>
    </font>
    <font>
      <i val="true"/>
      <sz val="12"/>
      <color rgb="FF000000"/>
      <name val="Calibri"/>
      <family val="2"/>
      <charset val="1"/>
    </font>
    <font>
      <i val="true"/>
      <sz val="12"/>
      <color rgb="FFFF0000"/>
      <name val="Calibri (Body)"/>
      <family val="0"/>
      <charset val="1"/>
    </font>
    <font>
      <sz val="12"/>
      <color rgb="FFFF0000"/>
      <name val="Calibri"/>
      <family val="2"/>
      <charset val="1"/>
    </font>
    <font>
      <sz val="12"/>
      <color rgb="FF000000"/>
      <name val="Calibri"/>
      <family val="2"/>
    </font>
    <font>
      <i val="true"/>
      <sz val="10"/>
      <color rgb="FF000000"/>
      <name val="Symbol"/>
      <family val="0"/>
      <charset val="2"/>
    </font>
    <font>
      <i val="true"/>
      <sz val="10"/>
      <color rgb="FF000000"/>
      <name val="Times New Roman"/>
      <family val="1"/>
      <charset val="1"/>
    </font>
    <font>
      <i val="true"/>
      <sz val="12"/>
      <color rgb="FFFF0000"/>
      <name val="Calibri"/>
      <family val="2"/>
      <charset val="1"/>
    </font>
    <font>
      <sz val="10"/>
      <color rgb="FF454545"/>
      <name val="Courier New"/>
      <family val="1"/>
      <charset val="1"/>
    </font>
  </fonts>
  <fills count="9">
    <fill>
      <patternFill patternType="none"/>
    </fill>
    <fill>
      <patternFill patternType="gray125"/>
    </fill>
    <fill>
      <patternFill patternType="solid">
        <fgColor rgb="FFA9D18E"/>
        <bgColor rgb="FF99CCFF"/>
      </patternFill>
    </fill>
    <fill>
      <patternFill patternType="solid">
        <fgColor rgb="FFFFC000"/>
        <bgColor rgb="FFFF9900"/>
      </patternFill>
    </fill>
    <fill>
      <patternFill patternType="solid">
        <fgColor rgb="FFDAE3F3"/>
        <bgColor rgb="FFE2F0D9"/>
      </patternFill>
    </fill>
    <fill>
      <patternFill patternType="solid">
        <fgColor rgb="FFE2F0D9"/>
        <bgColor rgb="FFDAE3F3"/>
      </patternFill>
    </fill>
    <fill>
      <patternFill patternType="solid">
        <fgColor rgb="FFFBE5D6"/>
        <bgColor rgb="FFFCE4D6"/>
      </patternFill>
    </fill>
    <fill>
      <patternFill patternType="solid">
        <fgColor rgb="FF7030A0"/>
        <bgColor rgb="FF993366"/>
      </patternFill>
    </fill>
    <fill>
      <patternFill patternType="solid">
        <fgColor rgb="FFFCE4D6"/>
        <bgColor rgb="FFFBE5D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6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0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5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7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0" fillId="7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BE5D6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545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B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10.8046875" defaultRowHeight="15" zeroHeight="false" outlineLevelRow="0" outlineLevelCol="0"/>
  <cols>
    <col collapsed="false" customWidth="true" hidden="false" outlineLevel="0" max="1" min="1" style="1" width="11.7"/>
    <col collapsed="false" customWidth="true" hidden="false" outlineLevel="0" max="2" min="2" style="1" width="109.3"/>
    <col collapsed="false" customWidth="false" hidden="false" outlineLevel="0" max="1024" min="3" style="1" width="10.8"/>
  </cols>
  <sheetData>
    <row r="2" customFormat="false" ht="15" hidden="false" customHeight="false" outlineLevel="0" collapsed="false">
      <c r="A2" s="2" t="n">
        <v>44042</v>
      </c>
      <c r="B2" s="1" t="s">
        <v>0</v>
      </c>
    </row>
    <row r="3" customFormat="false" ht="15" hidden="false" customHeight="false" outlineLevel="0" collapsed="false">
      <c r="A3" s="2" t="n">
        <v>44042</v>
      </c>
      <c r="B3" s="1" t="s">
        <v>1</v>
      </c>
    </row>
    <row r="4" customFormat="false" ht="15" hidden="false" customHeight="false" outlineLevel="0" collapsed="false">
      <c r="A4" s="2" t="n">
        <v>44054</v>
      </c>
      <c r="B4" s="1" t="s">
        <v>2</v>
      </c>
    </row>
    <row r="5" customFormat="false" ht="15" hidden="false" customHeight="false" outlineLevel="0" collapsed="false">
      <c r="A5" s="2" t="n">
        <v>44055</v>
      </c>
      <c r="B5" s="1" t="s">
        <v>3</v>
      </c>
    </row>
    <row r="6" customFormat="false" ht="15" hidden="false" customHeight="false" outlineLevel="0" collapsed="false">
      <c r="A6" s="2" t="n">
        <v>44055</v>
      </c>
      <c r="B6" s="1" t="s">
        <v>4</v>
      </c>
    </row>
    <row r="7" customFormat="false" ht="15" hidden="false" customHeight="false" outlineLevel="0" collapsed="false">
      <c r="A7" s="2" t="n">
        <v>44055</v>
      </c>
      <c r="B7" s="1" t="s">
        <v>5</v>
      </c>
    </row>
    <row r="8" customFormat="false" ht="15" hidden="false" customHeight="false" outlineLevel="0" collapsed="false">
      <c r="A8" s="2" t="n">
        <v>44074</v>
      </c>
      <c r="B8" s="1" t="s">
        <v>6</v>
      </c>
    </row>
    <row r="9" customFormat="false" ht="15" hidden="false" customHeight="false" outlineLevel="0" collapsed="false">
      <c r="A9" s="2" t="n">
        <v>44074</v>
      </c>
      <c r="B9" s="3" t="s">
        <v>7</v>
      </c>
    </row>
    <row r="10" customFormat="false" ht="15" hidden="false" customHeight="false" outlineLevel="0" collapsed="false">
      <c r="A10" s="2" t="n">
        <v>44074</v>
      </c>
      <c r="B10" s="1" t="s">
        <v>8</v>
      </c>
    </row>
    <row r="11" customFormat="false" ht="15" hidden="false" customHeight="false" outlineLevel="0" collapsed="false">
      <c r="A11" s="2" t="n">
        <v>44074</v>
      </c>
      <c r="B11" s="1" t="s">
        <v>9</v>
      </c>
    </row>
    <row r="12" customFormat="false" ht="30.75" hidden="false" customHeight="false" outlineLevel="0" collapsed="false">
      <c r="A12" s="2" t="n">
        <v>44076</v>
      </c>
      <c r="B12" s="4" t="s">
        <v>10</v>
      </c>
    </row>
    <row r="13" customFormat="false" ht="15" hidden="false" customHeight="false" outlineLevel="0" collapsed="false">
      <c r="A13" s="2" t="n">
        <v>44116</v>
      </c>
      <c r="B13" s="1" t="s">
        <v>11</v>
      </c>
    </row>
    <row r="14" customFormat="false" ht="15" hidden="false" customHeight="false" outlineLevel="0" collapsed="false">
      <c r="A14" s="2" t="n">
        <v>44116</v>
      </c>
      <c r="B14" s="1" t="s">
        <v>12</v>
      </c>
    </row>
    <row r="15" customFormat="false" ht="15" hidden="false" customHeight="false" outlineLevel="0" collapsed="false">
      <c r="A15" s="5" t="n">
        <v>44138</v>
      </c>
      <c r="B15" s="1" t="s">
        <v>13</v>
      </c>
    </row>
    <row r="16" customFormat="false" ht="15" hidden="false" customHeight="false" outlineLevel="0" collapsed="false">
      <c r="A16" s="2" t="n">
        <v>44138</v>
      </c>
      <c r="B16" s="4" t="s">
        <v>14</v>
      </c>
    </row>
    <row r="17" customFormat="false" ht="15" hidden="false" customHeight="false" outlineLevel="0" collapsed="false">
      <c r="A17" s="2" t="n">
        <v>44140</v>
      </c>
      <c r="B17" s="1" t="s">
        <v>15</v>
      </c>
    </row>
    <row r="18" customFormat="false" ht="15" hidden="false" customHeight="false" outlineLevel="0" collapsed="false">
      <c r="A18" s="2" t="n">
        <v>44147</v>
      </c>
      <c r="B18" s="1" t="s">
        <v>16</v>
      </c>
    </row>
    <row r="19" customFormat="false" ht="30.75" hidden="false" customHeight="false" outlineLevel="0" collapsed="false">
      <c r="A19" s="2" t="n">
        <v>44147</v>
      </c>
      <c r="B19" s="6" t="s">
        <v>10</v>
      </c>
    </row>
    <row r="20" customFormat="false" ht="30.75" hidden="false" customHeight="false" outlineLevel="0" collapsed="false">
      <c r="A20" s="2" t="n">
        <v>44153</v>
      </c>
      <c r="B20" s="7" t="s">
        <v>17</v>
      </c>
    </row>
    <row r="21" customFormat="false" ht="15" hidden="false" customHeight="false" outlineLevel="0" collapsed="false">
      <c r="A21" s="2" t="n">
        <v>44154</v>
      </c>
      <c r="B21" s="8" t="s">
        <v>18</v>
      </c>
    </row>
    <row r="22" customFormat="false" ht="30.75" hidden="false" customHeight="false" outlineLevel="0" collapsed="false">
      <c r="A22" s="2" t="n">
        <v>44179</v>
      </c>
      <c r="B22" s="9" t="s">
        <v>19</v>
      </c>
    </row>
    <row r="23" customFormat="false" ht="108.75" hidden="false" customHeight="false" outlineLevel="0" collapsed="false">
      <c r="A23" s="2" t="n">
        <v>44179</v>
      </c>
      <c r="B23" s="9" t="s">
        <v>20</v>
      </c>
    </row>
    <row r="24" customFormat="false" ht="15" hidden="false" customHeight="false" outlineLevel="0" collapsed="false">
      <c r="A24" s="2" t="n">
        <v>44180</v>
      </c>
      <c r="B24" s="8" t="s">
        <v>18</v>
      </c>
    </row>
    <row r="25" s="10" customFormat="true" ht="15" hidden="false" customHeight="false" outlineLevel="0" collapsed="false">
      <c r="A25" s="5" t="n">
        <v>44181</v>
      </c>
      <c r="B25" s="3" t="s">
        <v>21</v>
      </c>
    </row>
    <row r="26" customFormat="false" ht="15" hidden="false" customHeight="false" outlineLevel="0" collapsed="false">
      <c r="A26" s="2"/>
      <c r="B26" s="11" t="s">
        <v>22</v>
      </c>
    </row>
    <row r="27" customFormat="false" ht="15" hidden="false" customHeight="false" outlineLevel="0" collapsed="false">
      <c r="A27" s="2"/>
      <c r="B27" s="1" t="s">
        <v>23</v>
      </c>
    </row>
    <row r="28" customFormat="false" ht="15" hidden="false" customHeight="false" outlineLevel="0" collapsed="false">
      <c r="A28" s="2"/>
      <c r="B28" s="1" t="s">
        <v>24</v>
      </c>
    </row>
    <row r="29" customFormat="false" ht="15" hidden="false" customHeight="false" outlineLevel="0" collapsed="false">
      <c r="A29" s="2"/>
      <c r="B29" s="1" t="s">
        <v>25</v>
      </c>
    </row>
    <row r="30" customFormat="false" ht="15" hidden="false" customHeight="false" outlineLevel="0" collapsed="false">
      <c r="A30" s="2"/>
    </row>
    <row r="31" customFormat="false" ht="15" hidden="false" customHeight="false" outlineLevel="0" collapsed="false">
      <c r="A31" s="2"/>
    </row>
    <row r="32" customFormat="false" ht="15" hidden="false" customHeight="false" outlineLevel="0" collapsed="false">
      <c r="A32" s="2"/>
    </row>
    <row r="33" customFormat="false" ht="15" hidden="false" customHeight="false" outlineLevel="0" collapsed="false">
      <c r="A33" s="2"/>
    </row>
    <row r="34" customFormat="false" ht="15" hidden="false" customHeight="false" outlineLevel="0" collapsed="false">
      <c r="A34" s="2"/>
    </row>
    <row r="35" customFormat="false" ht="15" hidden="false" customHeight="false" outlineLevel="0" collapsed="false">
      <c r="A35" s="2"/>
    </row>
    <row r="36" customFormat="false" ht="15" hidden="false" customHeight="false" outlineLevel="0" collapsed="false">
      <c r="A36" s="2"/>
    </row>
    <row r="37" customFormat="false" ht="15" hidden="false" customHeight="false" outlineLevel="0" collapsed="false">
      <c r="A37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0390625" defaultRowHeight="15" zeroHeight="false" outlineLevelRow="0" outlineLevelCol="0"/>
  <cols>
    <col collapsed="false" customWidth="true" hidden="false" outlineLevel="0" max="1" min="1" style="0" width="13.5"/>
    <col collapsed="false" customWidth="true" hidden="false" outlineLevel="0" max="2" min="2" style="0" width="237.8"/>
  </cols>
  <sheetData>
    <row r="1" customFormat="false" ht="15" hidden="false" customHeight="false" outlineLevel="0" collapsed="false">
      <c r="A1" s="12" t="s">
        <v>26</v>
      </c>
      <c r="B1" s="12" t="s">
        <v>27</v>
      </c>
    </row>
    <row r="2" customFormat="false" ht="15" hidden="false" customHeight="false" outlineLevel="0" collapsed="false">
      <c r="A2" s="0" t="s">
        <v>28</v>
      </c>
      <c r="B2" s="0" t="s">
        <v>29</v>
      </c>
    </row>
    <row r="3" customFormat="false" ht="15" hidden="false" customHeight="false" outlineLevel="0" collapsed="false">
      <c r="A3" s="0" t="s">
        <v>30</v>
      </c>
      <c r="B3" s="0" t="s">
        <v>31</v>
      </c>
    </row>
    <row r="4" customFormat="false" ht="15" hidden="false" customHeight="false" outlineLevel="0" collapsed="false">
      <c r="A4" s="0" t="s">
        <v>32</v>
      </c>
      <c r="B4" s="0" t="s">
        <v>33</v>
      </c>
    </row>
    <row r="5" customFormat="false" ht="15" hidden="false" customHeight="false" outlineLevel="0" collapsed="false">
      <c r="A5" s="0" t="s">
        <v>34</v>
      </c>
      <c r="B5" s="0" t="s">
        <v>35</v>
      </c>
    </row>
    <row r="6" customFormat="false" ht="15" hidden="false" customHeight="false" outlineLevel="0" collapsed="false">
      <c r="A6" s="0" t="s">
        <v>36</v>
      </c>
      <c r="B6" s="0" t="s">
        <v>37</v>
      </c>
    </row>
    <row r="7" customFormat="false" ht="15" hidden="false" customHeight="false" outlineLevel="0" collapsed="false">
      <c r="A7" s="0" t="s">
        <v>38</v>
      </c>
      <c r="B7" s="0" t="s">
        <v>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O3" activeCellId="0" sqref="O3"/>
    </sheetView>
  </sheetViews>
  <sheetFormatPr defaultColWidth="10.8046875" defaultRowHeight="15" zeroHeight="false" outlineLevelRow="0" outlineLevelCol="0"/>
  <cols>
    <col collapsed="false" customWidth="false" hidden="false" outlineLevel="0" max="3" min="1" style="13" width="10.8"/>
    <col collapsed="false" customWidth="true" hidden="false" outlineLevel="0" max="4" min="4" style="13" width="12.43"/>
    <col collapsed="false" customWidth="true" hidden="false" outlineLevel="0" max="5" min="5" style="13" width="17.78"/>
    <col collapsed="false" customWidth="true" hidden="false" outlineLevel="0" max="6" min="6" style="13" width="12.71"/>
    <col collapsed="false" customWidth="true" hidden="false" outlineLevel="0" max="7" min="7" style="13" width="17.78"/>
    <col collapsed="false" customWidth="true" hidden="false" outlineLevel="0" max="8" min="8" style="13" width="12.8"/>
    <col collapsed="false" customWidth="true" hidden="false" outlineLevel="0" max="9" min="9" style="13" width="22.19"/>
    <col collapsed="false" customWidth="true" hidden="false" outlineLevel="0" max="10" min="10" style="13" width="19.36"/>
    <col collapsed="false" customWidth="true" hidden="false" outlineLevel="0" max="11" min="11" style="13" width="21.28"/>
    <col collapsed="false" customWidth="false" hidden="false" outlineLevel="0" max="13" min="12" style="13" width="10.8"/>
    <col collapsed="false" customWidth="true" hidden="false" outlineLevel="0" max="14" min="14" style="13" width="13.5"/>
    <col collapsed="false" customWidth="true" hidden="false" outlineLevel="0" max="15" min="15" style="13" width="16.54"/>
    <col collapsed="false" customWidth="false" hidden="false" outlineLevel="0" max="1024" min="16" style="13" width="10.8"/>
  </cols>
  <sheetData>
    <row r="1" s="14" customFormat="true" ht="15" hidden="false" customHeight="false" outlineLevel="0" collapsed="false">
      <c r="A1" s="14" t="s">
        <v>40</v>
      </c>
      <c r="B1" s="14" t="s">
        <v>41</v>
      </c>
      <c r="C1" s="14" t="s">
        <v>42</v>
      </c>
      <c r="D1" s="14" t="s">
        <v>43</v>
      </c>
      <c r="E1" s="14" t="s">
        <v>44</v>
      </c>
      <c r="F1" s="14" t="s">
        <v>45</v>
      </c>
      <c r="G1" s="14" t="s">
        <v>46</v>
      </c>
      <c r="H1" s="14" t="s">
        <v>47</v>
      </c>
      <c r="I1" s="14" t="s">
        <v>48</v>
      </c>
      <c r="J1" s="14" t="s">
        <v>49</v>
      </c>
      <c r="K1" s="14" t="s">
        <v>50</v>
      </c>
      <c r="L1" s="14" t="s">
        <v>51</v>
      </c>
      <c r="M1" s="14" t="s">
        <v>52</v>
      </c>
      <c r="N1" s="14" t="s">
        <v>53</v>
      </c>
      <c r="O1" s="14" t="s">
        <v>54</v>
      </c>
    </row>
    <row r="2" customFormat="false" ht="15" hidden="false" customHeight="false" outlineLevel="0" collapsed="false">
      <c r="A2" s="13" t="s">
        <v>55</v>
      </c>
      <c r="B2" s="13" t="s">
        <v>56</v>
      </c>
      <c r="C2" s="15" t="s">
        <v>55</v>
      </c>
      <c r="D2" s="15" t="n">
        <v>0</v>
      </c>
      <c r="F2" s="15" t="n">
        <v>0</v>
      </c>
      <c r="H2" s="16" t="n">
        <v>64.8</v>
      </c>
      <c r="I2" s="17" t="n">
        <v>0.3</v>
      </c>
      <c r="J2" s="13" t="s">
        <v>28</v>
      </c>
      <c r="K2" s="13" t="s">
        <v>57</v>
      </c>
      <c r="L2" s="18" t="n">
        <v>26.65</v>
      </c>
      <c r="M2" s="17" t="n">
        <v>0.1</v>
      </c>
      <c r="N2" s="13" t="s">
        <v>28</v>
      </c>
      <c r="O2" s="19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2" activeCellId="0" sqref="T2"/>
    </sheetView>
  </sheetViews>
  <sheetFormatPr defaultColWidth="10.8046875" defaultRowHeight="15" zeroHeight="false" outlineLevelRow="0" outlineLevelCol="0"/>
  <cols>
    <col collapsed="false" customWidth="true" hidden="false" outlineLevel="0" max="2" min="1" style="3" width="9.3"/>
    <col collapsed="false" customWidth="true" hidden="false" outlineLevel="0" max="4" min="3" style="3" width="11.3"/>
    <col collapsed="false" customWidth="true" hidden="false" outlineLevel="0" max="5" min="5" style="3" width="13.3"/>
    <col collapsed="false" customWidth="true" hidden="false" outlineLevel="0" max="8" min="6" style="3" width="19"/>
    <col collapsed="false" customWidth="true" hidden="false" outlineLevel="0" max="9" min="9" style="3" width="13.2"/>
    <col collapsed="false" customWidth="true" hidden="false" outlineLevel="0" max="12" min="10" style="3" width="18.8"/>
    <col collapsed="false" customWidth="true" hidden="false" outlineLevel="0" max="13" min="13" style="3" width="13.2"/>
    <col collapsed="false" customWidth="true" hidden="false" outlineLevel="0" max="16" min="14" style="3" width="18.8"/>
    <col collapsed="false" customWidth="true" hidden="false" outlineLevel="0" max="17" min="17" style="3" width="14.2"/>
    <col collapsed="false" customWidth="true" hidden="false" outlineLevel="0" max="18" min="18" style="3" width="19.8"/>
    <col collapsed="false" customWidth="true" hidden="false" outlineLevel="0" max="19" min="19" style="3" width="13.3"/>
    <col collapsed="false" customWidth="false" hidden="false" outlineLevel="0" max="1024" min="20" style="3" width="10.8"/>
  </cols>
  <sheetData>
    <row r="1" customFormat="false" ht="15" hidden="false" customHeight="false" outlineLevel="0" collapsed="false">
      <c r="A1" s="3" t="s">
        <v>40</v>
      </c>
      <c r="B1" s="3" t="s">
        <v>41</v>
      </c>
      <c r="C1" s="3" t="s">
        <v>42</v>
      </c>
      <c r="D1" s="3" t="s">
        <v>59</v>
      </c>
      <c r="E1" s="3" t="s">
        <v>43</v>
      </c>
      <c r="F1" s="3" t="s">
        <v>44</v>
      </c>
      <c r="G1" s="3" t="s">
        <v>60</v>
      </c>
      <c r="H1" s="14" t="s">
        <v>61</v>
      </c>
      <c r="I1" s="3" t="s">
        <v>45</v>
      </c>
      <c r="J1" s="3" t="s">
        <v>46</v>
      </c>
      <c r="K1" s="3" t="s">
        <v>62</v>
      </c>
      <c r="L1" s="14" t="s">
        <v>63</v>
      </c>
      <c r="M1" s="3" t="s">
        <v>47</v>
      </c>
      <c r="N1" s="3" t="s">
        <v>48</v>
      </c>
      <c r="O1" s="3" t="s">
        <v>49</v>
      </c>
      <c r="P1" s="14" t="s">
        <v>64</v>
      </c>
      <c r="Q1" s="3" t="s">
        <v>51</v>
      </c>
      <c r="R1" s="3" t="s">
        <v>52</v>
      </c>
      <c r="S1" s="3" t="s">
        <v>65</v>
      </c>
      <c r="T1" s="14" t="s">
        <v>64</v>
      </c>
    </row>
    <row r="2" customFormat="false" ht="15" hidden="false" customHeight="false" outlineLevel="0" collapsed="false">
      <c r="A2" s="3" t="s">
        <v>66</v>
      </c>
      <c r="B2" s="3" t="s">
        <v>66</v>
      </c>
      <c r="C2" s="3" t="s">
        <v>66</v>
      </c>
      <c r="D2" s="3" t="s">
        <v>67</v>
      </c>
      <c r="E2" s="20" t="n">
        <v>-24.238</v>
      </c>
      <c r="F2" s="20" t="n">
        <v>0.399</v>
      </c>
      <c r="G2" s="13" t="s">
        <v>28</v>
      </c>
      <c r="H2" s="3" t="n">
        <v>487</v>
      </c>
      <c r="I2" s="20" t="n">
        <v>0.92</v>
      </c>
      <c r="J2" s="20" t="n">
        <v>0.25</v>
      </c>
      <c r="K2" s="13" t="s">
        <v>28</v>
      </c>
      <c r="L2" s="3" t="n">
        <v>500</v>
      </c>
      <c r="M2" s="20" t="n">
        <v>18.5</v>
      </c>
      <c r="N2" s="20" t="n">
        <v>1</v>
      </c>
      <c r="O2" s="13" t="s">
        <v>28</v>
      </c>
      <c r="P2" s="3" t="n">
        <v>488</v>
      </c>
    </row>
    <row r="3" customFormat="false" ht="15" hidden="false" customHeight="false" outlineLevel="0" collapsed="false">
      <c r="A3" s="3" t="s">
        <v>68</v>
      </c>
      <c r="B3" s="3" t="s">
        <v>68</v>
      </c>
      <c r="C3" s="3" t="s">
        <v>69</v>
      </c>
      <c r="D3" s="3" t="s">
        <v>70</v>
      </c>
      <c r="E3" s="20" t="n">
        <v>-813.036</v>
      </c>
      <c r="F3" s="20" t="n">
        <v>0.447</v>
      </c>
      <c r="G3" s="13" t="s">
        <v>28</v>
      </c>
      <c r="H3" s="3" t="n">
        <v>500</v>
      </c>
      <c r="I3" s="20" t="n">
        <v>-919.97</v>
      </c>
      <c r="J3" s="20" t="n">
        <v>0.4</v>
      </c>
      <c r="K3" s="13" t="s">
        <v>28</v>
      </c>
      <c r="L3" s="3" t="n">
        <v>500</v>
      </c>
      <c r="M3" s="20" t="n">
        <v>148.5</v>
      </c>
      <c r="N3" s="20" t="n">
        <v>0.6</v>
      </c>
      <c r="O3" s="3" t="s">
        <v>36</v>
      </c>
      <c r="P3" s="3" t="n">
        <v>508</v>
      </c>
    </row>
    <row r="4" customFormat="false" ht="15" hidden="false" customHeight="false" outlineLevel="0" collapsed="false">
      <c r="A4" s="21" t="s">
        <v>71</v>
      </c>
      <c r="B4" s="21" t="s">
        <v>56</v>
      </c>
      <c r="C4" s="21" t="s">
        <v>72</v>
      </c>
      <c r="D4" s="21" t="s">
        <v>70</v>
      </c>
      <c r="E4" s="21" t="n">
        <v>0</v>
      </c>
      <c r="F4" s="21" t="n">
        <v>0</v>
      </c>
      <c r="G4" s="21"/>
      <c r="H4" s="21"/>
      <c r="I4" s="21"/>
      <c r="J4" s="21"/>
      <c r="K4" s="21"/>
      <c r="L4" s="21"/>
      <c r="M4" s="22" t="n">
        <v>64.8</v>
      </c>
      <c r="N4" s="22" t="n">
        <v>0.3</v>
      </c>
      <c r="O4" s="13" t="s">
        <v>28</v>
      </c>
      <c r="P4" s="21" t="n">
        <v>487</v>
      </c>
      <c r="Q4" s="23" t="n">
        <v>26.65</v>
      </c>
      <c r="R4" s="22" t="n">
        <v>0.1</v>
      </c>
      <c r="S4" s="13" t="s">
        <v>28</v>
      </c>
      <c r="T4" s="21" t="n">
        <v>487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0.8046875" defaultRowHeight="15" zeroHeight="false" outlineLevelRow="0" outlineLevelCol="0"/>
  <cols>
    <col collapsed="false" customWidth="false" hidden="false" outlineLevel="0" max="1" min="1" style="3" width="10.8"/>
    <col collapsed="false" customWidth="true" hidden="false" outlineLevel="0" max="3" min="2" style="3" width="12.3"/>
    <col collapsed="false" customWidth="true" hidden="false" outlineLevel="0" max="5" min="4" style="3" width="16"/>
    <col collapsed="false" customWidth="true" hidden="false" outlineLevel="0" max="6" min="6" style="3" width="6.79"/>
    <col collapsed="false" customWidth="true" hidden="false" outlineLevel="0" max="7" min="7" style="3" width="10.2"/>
    <col collapsed="false" customWidth="true" hidden="false" outlineLevel="0" max="9" min="8" style="3" width="20.2"/>
    <col collapsed="false" customWidth="true" hidden="false" outlineLevel="0" max="10" min="10" style="3" width="13.2"/>
    <col collapsed="false" customWidth="true" hidden="false" outlineLevel="0" max="11" min="11" style="3" width="18.8"/>
    <col collapsed="false" customWidth="true" hidden="false" outlineLevel="0" max="12" min="12" style="3" width="20.2"/>
    <col collapsed="false" customWidth="true" hidden="false" outlineLevel="0" max="13" min="13" style="3" width="18.8"/>
    <col collapsed="false" customWidth="true" hidden="false" outlineLevel="0" max="14" min="14" style="3" width="16"/>
    <col collapsed="false" customWidth="true" hidden="false" outlineLevel="0" max="17" min="15" style="3" width="21.79"/>
    <col collapsed="false" customWidth="true" hidden="false" outlineLevel="0" max="18" min="18" style="3" width="6"/>
    <col collapsed="false" customWidth="true" hidden="false" outlineLevel="0" max="19" min="19" style="3" width="6.3"/>
    <col collapsed="false" customWidth="true" hidden="false" outlineLevel="0" max="20" min="20" style="3" width="32.8"/>
    <col collapsed="false" customWidth="true" hidden="false" outlineLevel="0" max="21" min="21" style="3" width="33.5"/>
    <col collapsed="false" customWidth="false" hidden="false" outlineLevel="0" max="22" min="22" style="3" width="10.8"/>
    <col collapsed="false" customWidth="true" hidden="false" outlineLevel="0" max="23" min="23" style="3" width="34"/>
    <col collapsed="false" customWidth="true" hidden="false" outlineLevel="0" max="24" min="24" style="3" width="2.8"/>
    <col collapsed="false" customWidth="true" hidden="false" outlineLevel="0" max="25" min="25" style="3" width="5.2"/>
    <col collapsed="false" customWidth="true" hidden="false" outlineLevel="0" max="26" min="26" style="3" width="2.2"/>
    <col collapsed="false" customWidth="true" hidden="false" outlineLevel="0" max="27" min="27" style="3" width="7.3"/>
    <col collapsed="false" customWidth="true" hidden="false" outlineLevel="0" max="28" min="28" style="3" width="6.5"/>
    <col collapsed="false" customWidth="true" hidden="false" outlineLevel="0" max="29" min="29" style="3" width="11.7"/>
    <col collapsed="false" customWidth="true" hidden="false" outlineLevel="0" max="30" min="30" style="3" width="3.3"/>
    <col collapsed="false" customWidth="true" hidden="false" outlineLevel="0" max="31" min="31" style="3" width="11"/>
    <col collapsed="false" customWidth="true" hidden="false" outlineLevel="0" max="32" min="32" style="3" width="11.3"/>
    <col collapsed="false" customWidth="true" hidden="false" outlineLevel="0" max="33" min="33" style="3" width="15.29"/>
    <col collapsed="false" customWidth="false" hidden="false" outlineLevel="0" max="1024" min="34" style="3" width="10.8"/>
  </cols>
  <sheetData>
    <row r="1" customFormat="false" ht="15" hidden="false" customHeight="false" outlineLevel="0" collapsed="false">
      <c r="B1" s="3" t="s">
        <v>40</v>
      </c>
      <c r="C1" s="3" t="s">
        <v>41</v>
      </c>
      <c r="D1" s="3" t="s">
        <v>42</v>
      </c>
      <c r="E1" s="3" t="s">
        <v>59</v>
      </c>
      <c r="F1" s="3" t="s">
        <v>73</v>
      </c>
      <c r="G1" s="3" t="s">
        <v>74</v>
      </c>
      <c r="H1" s="3" t="s">
        <v>75</v>
      </c>
      <c r="I1" s="14" t="s">
        <v>76</v>
      </c>
      <c r="J1" s="3" t="s">
        <v>77</v>
      </c>
      <c r="K1" s="3" t="s">
        <v>78</v>
      </c>
      <c r="L1" s="3" t="s">
        <v>79</v>
      </c>
      <c r="M1" s="14" t="s">
        <v>76</v>
      </c>
      <c r="N1" s="3" t="s">
        <v>80</v>
      </c>
      <c r="O1" s="3" t="s">
        <v>81</v>
      </c>
      <c r="P1" s="3" t="s">
        <v>82</v>
      </c>
      <c r="Q1" s="14" t="s">
        <v>76</v>
      </c>
      <c r="R1" s="3" t="s">
        <v>83</v>
      </c>
      <c r="S1" s="3" t="s">
        <v>84</v>
      </c>
      <c r="T1" s="3" t="s">
        <v>85</v>
      </c>
      <c r="AG1" s="3" t="s">
        <v>86</v>
      </c>
    </row>
    <row r="2" customFormat="false" ht="15" hidden="false" customHeight="false" outlineLevel="0" collapsed="false">
      <c r="A2" s="24" t="s">
        <v>87</v>
      </c>
      <c r="B2" s="25" t="s">
        <v>88</v>
      </c>
      <c r="C2" s="25" t="s">
        <v>88</v>
      </c>
      <c r="D2" s="25" t="s">
        <v>89</v>
      </c>
      <c r="E2" s="25" t="s">
        <v>67</v>
      </c>
      <c r="F2" s="26" t="n">
        <v>-7.3</v>
      </c>
      <c r="G2" s="25"/>
      <c r="H2" s="3" t="s">
        <v>36</v>
      </c>
      <c r="I2" s="3" t="n">
        <v>487</v>
      </c>
      <c r="J2" s="25"/>
      <c r="K2" s="25"/>
      <c r="N2" s="27"/>
      <c r="O2" s="27"/>
      <c r="P2" s="27"/>
      <c r="Q2" s="27"/>
      <c r="R2" s="27"/>
      <c r="S2" s="27"/>
      <c r="T2" s="27" t="s">
        <v>90</v>
      </c>
      <c r="U2" s="25" t="s">
        <v>91</v>
      </c>
      <c r="W2" s="25" t="s">
        <v>92</v>
      </c>
      <c r="X2" s="25" t="n">
        <v>1</v>
      </c>
      <c r="Y2" s="3" t="s">
        <v>71</v>
      </c>
      <c r="AD2" s="3" t="s">
        <v>93</v>
      </c>
      <c r="AE2" s="3" t="s">
        <v>88</v>
      </c>
      <c r="AG2" s="3" t="s">
        <v>94</v>
      </c>
    </row>
    <row r="3" customFormat="false" ht="15" hidden="false" customHeight="false" outlineLevel="0" collapsed="false">
      <c r="B3" s="3" t="s">
        <v>95</v>
      </c>
      <c r="C3" s="3" t="s">
        <v>95</v>
      </c>
      <c r="D3" s="3" t="s">
        <v>95</v>
      </c>
      <c r="E3" s="3" t="s">
        <v>67</v>
      </c>
      <c r="F3" s="3" t="n">
        <v>-7.46</v>
      </c>
      <c r="G3" s="3" t="n">
        <v>0.06</v>
      </c>
      <c r="H3" s="3" t="s">
        <v>30</v>
      </c>
      <c r="I3" s="3" t="n">
        <v>488</v>
      </c>
      <c r="J3" s="3" t="n">
        <v>56</v>
      </c>
      <c r="K3" s="3" t="n">
        <v>1.5</v>
      </c>
      <c r="L3" s="3" t="s">
        <v>32</v>
      </c>
      <c r="M3" s="3" t="n">
        <v>488</v>
      </c>
      <c r="N3" s="28" t="n">
        <v>0</v>
      </c>
      <c r="P3" s="3" t="s">
        <v>32</v>
      </c>
      <c r="Q3" s="3" t="n">
        <v>488</v>
      </c>
      <c r="R3" s="3" t="n">
        <v>15</v>
      </c>
      <c r="S3" s="28" t="n">
        <v>300</v>
      </c>
      <c r="T3" s="28" t="s">
        <v>96</v>
      </c>
      <c r="U3" s="3" t="s">
        <v>97</v>
      </c>
      <c r="W3" s="3" t="s">
        <v>98</v>
      </c>
      <c r="X3" s="3" t="n">
        <v>1</v>
      </c>
      <c r="Y3" s="3" t="s">
        <v>66</v>
      </c>
      <c r="Z3" s="3" t="n">
        <v>1</v>
      </c>
      <c r="AA3" s="3" t="s">
        <v>99</v>
      </c>
      <c r="AB3" s="3" t="n">
        <v>-1</v>
      </c>
      <c r="AC3" s="3" t="s">
        <v>100</v>
      </c>
      <c r="AD3" s="3" t="s">
        <v>93</v>
      </c>
      <c r="AE3" s="3" t="s">
        <v>95</v>
      </c>
      <c r="AG3" s="3" t="s">
        <v>101</v>
      </c>
    </row>
    <row r="4" customFormat="false" ht="15" hidden="false" customHeight="false" outlineLevel="0" collapsed="false">
      <c r="B4" s="3" t="s">
        <v>102</v>
      </c>
      <c r="C4" s="3" t="s">
        <v>102</v>
      </c>
      <c r="D4" s="3" t="s">
        <v>102</v>
      </c>
      <c r="E4" s="3" t="s">
        <v>67</v>
      </c>
      <c r="F4" s="3" t="n">
        <v>-16.94</v>
      </c>
      <c r="G4" s="3" t="n">
        <v>0.09</v>
      </c>
      <c r="H4" s="3" t="s">
        <v>30</v>
      </c>
      <c r="I4" s="3" t="n">
        <v>488</v>
      </c>
      <c r="J4" s="3" t="n">
        <v>90</v>
      </c>
      <c r="K4" s="3" t="n">
        <v>0.9</v>
      </c>
      <c r="L4" s="3" t="s">
        <v>32</v>
      </c>
      <c r="M4" s="3" t="n">
        <v>489</v>
      </c>
      <c r="N4" s="28" t="n">
        <v>0</v>
      </c>
      <c r="P4" s="3" t="s">
        <v>32</v>
      </c>
      <c r="Q4" s="3" t="n">
        <v>489</v>
      </c>
      <c r="R4" s="3" t="n">
        <v>25</v>
      </c>
      <c r="S4" s="28" t="n">
        <v>260</v>
      </c>
      <c r="T4" s="28" t="s">
        <v>103</v>
      </c>
      <c r="U4" s="3" t="s">
        <v>104</v>
      </c>
      <c r="W4" s="3" t="s">
        <v>105</v>
      </c>
      <c r="X4" s="3" t="n">
        <v>1</v>
      </c>
      <c r="Y4" s="3" t="s">
        <v>66</v>
      </c>
      <c r="Z4" s="3" t="n">
        <v>2</v>
      </c>
      <c r="AA4" s="3" t="s">
        <v>99</v>
      </c>
      <c r="AB4" s="3" t="n">
        <v>-2</v>
      </c>
      <c r="AC4" s="3" t="s">
        <v>100</v>
      </c>
      <c r="AD4" s="3" t="s">
        <v>93</v>
      </c>
      <c r="AE4" s="3" t="s">
        <v>102</v>
      </c>
      <c r="AG4" s="3" t="s">
        <v>100</v>
      </c>
    </row>
    <row r="5" customFormat="false" ht="15" hidden="false" customHeight="false" outlineLevel="0" collapsed="false">
      <c r="B5" s="3" t="s">
        <v>106</v>
      </c>
      <c r="C5" s="3" t="s">
        <v>106</v>
      </c>
      <c r="D5" s="3" t="s">
        <v>106</v>
      </c>
      <c r="E5" s="3" t="s">
        <v>67</v>
      </c>
      <c r="F5" s="3" t="n">
        <v>-28.03</v>
      </c>
      <c r="G5" s="3" t="n">
        <v>0.06</v>
      </c>
      <c r="H5" s="3" t="s">
        <v>30</v>
      </c>
      <c r="I5" s="3" t="n">
        <v>489</v>
      </c>
      <c r="J5" s="3" t="n">
        <v>135.8</v>
      </c>
      <c r="K5" s="3" t="n">
        <v>3</v>
      </c>
      <c r="L5" s="3" t="s">
        <v>32</v>
      </c>
      <c r="M5" s="3" t="n">
        <v>489</v>
      </c>
      <c r="N5" s="28" t="n">
        <v>251</v>
      </c>
      <c r="O5" s="3" t="n">
        <v>36</v>
      </c>
      <c r="P5" s="3" t="s">
        <v>32</v>
      </c>
      <c r="Q5" s="3" t="n">
        <v>489</v>
      </c>
      <c r="R5" s="3" t="n">
        <v>20</v>
      </c>
      <c r="S5" s="28" t="n">
        <v>260</v>
      </c>
      <c r="T5" s="28" t="s">
        <v>107</v>
      </c>
      <c r="U5" s="3" t="s">
        <v>108</v>
      </c>
      <c r="W5" s="3" t="s">
        <v>109</v>
      </c>
      <c r="X5" s="3" t="n">
        <v>1</v>
      </c>
      <c r="Y5" s="3" t="s">
        <v>66</v>
      </c>
      <c r="Z5" s="3" t="n">
        <v>3</v>
      </c>
      <c r="AA5" s="3" t="s">
        <v>99</v>
      </c>
      <c r="AB5" s="3" t="n">
        <v>-3</v>
      </c>
      <c r="AC5" s="3" t="s">
        <v>100</v>
      </c>
      <c r="AD5" s="3" t="s">
        <v>93</v>
      </c>
      <c r="AE5" s="3" t="s">
        <v>106</v>
      </c>
      <c r="AG5" s="3" t="s">
        <v>99</v>
      </c>
    </row>
    <row r="6" customFormat="false" ht="15" hidden="false" customHeight="false" outlineLevel="0" collapsed="false">
      <c r="B6" s="3" t="s">
        <v>110</v>
      </c>
      <c r="C6" s="3" t="s">
        <v>110</v>
      </c>
      <c r="D6" s="3" t="s">
        <v>110</v>
      </c>
      <c r="E6" s="3" t="s">
        <v>67</v>
      </c>
      <c r="F6" s="3" t="n">
        <v>-6.73</v>
      </c>
      <c r="G6" s="3" t="n">
        <v>0.31</v>
      </c>
      <c r="H6" s="3" t="s">
        <v>32</v>
      </c>
      <c r="I6" s="3" t="n">
        <v>490</v>
      </c>
      <c r="N6" s="28"/>
      <c r="S6" s="28"/>
      <c r="T6" s="28" t="s">
        <v>111</v>
      </c>
      <c r="U6" s="3" t="s">
        <v>112</v>
      </c>
      <c r="W6" s="3" t="s">
        <v>113</v>
      </c>
      <c r="X6" s="3" t="n">
        <v>2</v>
      </c>
      <c r="Y6" s="3" t="s">
        <v>66</v>
      </c>
      <c r="Z6" s="3" t="n">
        <v>1</v>
      </c>
      <c r="AA6" s="3" t="s">
        <v>99</v>
      </c>
      <c r="AB6" s="3" t="n">
        <v>-1</v>
      </c>
      <c r="AC6" s="3" t="s">
        <v>100</v>
      </c>
      <c r="AD6" s="3" t="s">
        <v>93</v>
      </c>
      <c r="AE6" s="3" t="s">
        <v>110</v>
      </c>
      <c r="AG6" s="3" t="s">
        <v>114</v>
      </c>
    </row>
    <row r="7" customFormat="false" ht="15" hidden="false" customHeight="false" outlineLevel="0" collapsed="false">
      <c r="B7" s="3" t="s">
        <v>115</v>
      </c>
      <c r="C7" s="3" t="s">
        <v>115</v>
      </c>
      <c r="D7" s="3" t="s">
        <v>115</v>
      </c>
      <c r="E7" s="3" t="s">
        <v>67</v>
      </c>
      <c r="F7" s="3" t="n">
        <v>-23.01</v>
      </c>
      <c r="G7" s="3" t="n">
        <v>0.07</v>
      </c>
      <c r="H7" s="3" t="s">
        <v>30</v>
      </c>
      <c r="I7" s="3" t="n">
        <v>490</v>
      </c>
      <c r="J7" s="3" t="n">
        <v>111.4</v>
      </c>
      <c r="K7" s="3" t="n">
        <v>5.6</v>
      </c>
      <c r="L7" s="3" t="s">
        <v>32</v>
      </c>
      <c r="M7" s="3" t="n">
        <v>492</v>
      </c>
      <c r="N7" s="28"/>
      <c r="S7" s="28"/>
      <c r="T7" s="28" t="s">
        <v>116</v>
      </c>
      <c r="U7" s="3" t="s">
        <v>117</v>
      </c>
      <c r="W7" s="3" t="s">
        <v>118</v>
      </c>
      <c r="X7" s="3" t="n">
        <v>3</v>
      </c>
      <c r="Y7" s="3" t="s">
        <v>66</v>
      </c>
      <c r="Z7" s="3" t="n">
        <v>4</v>
      </c>
      <c r="AA7" s="3" t="s">
        <v>99</v>
      </c>
      <c r="AB7" s="3" t="n">
        <v>-4</v>
      </c>
      <c r="AC7" s="3" t="s">
        <v>100</v>
      </c>
      <c r="AD7" s="3" t="s">
        <v>93</v>
      </c>
      <c r="AE7" s="3" t="s">
        <v>115</v>
      </c>
      <c r="AG7" s="3" t="s">
        <v>119</v>
      </c>
    </row>
    <row r="8" customFormat="false" ht="15" hidden="false" customHeight="false" outlineLevel="0" collapsed="false">
      <c r="B8" s="3" t="s">
        <v>120</v>
      </c>
      <c r="C8" s="3" t="s">
        <v>120</v>
      </c>
      <c r="D8" s="3" t="s">
        <v>120</v>
      </c>
      <c r="E8" s="3" t="s">
        <v>67</v>
      </c>
      <c r="F8" s="3" t="n">
        <v>-20.57</v>
      </c>
      <c r="G8" s="3" t="n">
        <v>0.06</v>
      </c>
      <c r="H8" s="3" t="s">
        <v>30</v>
      </c>
      <c r="I8" s="3" t="n">
        <v>491</v>
      </c>
      <c r="J8" s="3" t="n">
        <v>85</v>
      </c>
      <c r="K8" s="3" t="n">
        <v>2</v>
      </c>
      <c r="L8" s="3" t="s">
        <v>32</v>
      </c>
      <c r="M8" s="3" t="n">
        <v>492</v>
      </c>
      <c r="N8" s="28"/>
      <c r="S8" s="28"/>
      <c r="T8" s="28" t="s">
        <v>121</v>
      </c>
      <c r="U8" s="3" t="s">
        <v>122</v>
      </c>
      <c r="W8" s="3" t="s">
        <v>123</v>
      </c>
      <c r="X8" s="3" t="n">
        <v>4</v>
      </c>
      <c r="Y8" s="3" t="s">
        <v>66</v>
      </c>
      <c r="Z8" s="3" t="n">
        <v>4</v>
      </c>
      <c r="AA8" s="3" t="s">
        <v>99</v>
      </c>
      <c r="AB8" s="3" t="n">
        <v>-4</v>
      </c>
      <c r="AC8" s="3" t="s">
        <v>100</v>
      </c>
      <c r="AD8" s="3" t="s">
        <v>93</v>
      </c>
      <c r="AE8" s="3" t="s">
        <v>120</v>
      </c>
      <c r="AG8" s="3" t="s">
        <v>124</v>
      </c>
    </row>
    <row r="9" customFormat="false" ht="15" hidden="false" customHeight="false" outlineLevel="0" collapsed="false">
      <c r="B9" s="3" t="s">
        <v>125</v>
      </c>
      <c r="C9" s="3" t="s">
        <v>125</v>
      </c>
      <c r="D9" s="3" t="s">
        <v>125</v>
      </c>
      <c r="E9" s="3" t="s">
        <v>67</v>
      </c>
      <c r="F9" s="3" t="n">
        <v>-42.89</v>
      </c>
      <c r="G9" s="3" t="n">
        <v>0.07</v>
      </c>
      <c r="H9" s="3" t="s">
        <v>30</v>
      </c>
      <c r="I9" s="3" t="n">
        <v>491</v>
      </c>
      <c r="J9" s="3" t="n">
        <v>210.9</v>
      </c>
      <c r="K9" s="3" t="n">
        <v>7.1</v>
      </c>
      <c r="L9" s="3" t="s">
        <v>32</v>
      </c>
      <c r="M9" s="3" t="n">
        <v>492</v>
      </c>
      <c r="N9" s="28"/>
      <c r="S9" s="28"/>
      <c r="T9" s="28" t="s">
        <v>126</v>
      </c>
      <c r="U9" s="3" t="s">
        <v>127</v>
      </c>
      <c r="W9" s="3" t="s">
        <v>128</v>
      </c>
      <c r="X9" s="3" t="n">
        <v>6</v>
      </c>
      <c r="Y9" s="3" t="s">
        <v>66</v>
      </c>
      <c r="Z9" s="3" t="n">
        <v>8</v>
      </c>
      <c r="AA9" s="3" t="s">
        <v>99</v>
      </c>
      <c r="AB9" s="3" t="n">
        <v>-8</v>
      </c>
      <c r="AC9" s="3" t="s">
        <v>100</v>
      </c>
      <c r="AD9" s="3" t="s">
        <v>93</v>
      </c>
      <c r="AE9" s="3" t="s">
        <v>125</v>
      </c>
      <c r="AG9" s="3" t="s">
        <v>129</v>
      </c>
    </row>
    <row r="10" customFormat="false" ht="15" hidden="false" customHeight="false" outlineLevel="0" collapsed="false">
      <c r="B10" s="3" t="s">
        <v>130</v>
      </c>
      <c r="C10" s="3" t="s">
        <v>130</v>
      </c>
      <c r="D10" s="3" t="s">
        <v>130</v>
      </c>
      <c r="E10" s="3" t="s">
        <v>67</v>
      </c>
      <c r="F10" s="3" t="n">
        <v>1.5</v>
      </c>
      <c r="G10" s="3" t="n">
        <v>0.03</v>
      </c>
      <c r="H10" s="3" t="s">
        <v>30</v>
      </c>
      <c r="I10" s="3" t="n">
        <v>493</v>
      </c>
      <c r="J10" s="3" t="n">
        <v>10.3</v>
      </c>
      <c r="K10" s="3" t="n">
        <v>1.5</v>
      </c>
      <c r="L10" s="3" t="s">
        <v>30</v>
      </c>
      <c r="M10" s="3" t="n">
        <v>493</v>
      </c>
      <c r="N10" s="28" t="n">
        <v>0</v>
      </c>
      <c r="P10" s="3" t="s">
        <v>30</v>
      </c>
      <c r="Q10" s="3" t="n">
        <v>493</v>
      </c>
      <c r="R10" s="3" t="n">
        <v>15</v>
      </c>
      <c r="S10" s="28" t="n">
        <v>50</v>
      </c>
      <c r="T10" s="28" t="s">
        <v>131</v>
      </c>
      <c r="U10" s="3" t="s">
        <v>132</v>
      </c>
      <c r="W10" s="3" t="s">
        <v>133</v>
      </c>
      <c r="X10" s="3" t="n">
        <v>1</v>
      </c>
      <c r="Y10" s="3" t="s">
        <v>66</v>
      </c>
      <c r="Z10" s="3" t="n">
        <v>1</v>
      </c>
      <c r="AA10" s="3" t="s">
        <v>94</v>
      </c>
      <c r="AD10" s="3" t="s">
        <v>93</v>
      </c>
      <c r="AE10" s="3" t="s">
        <v>130</v>
      </c>
      <c r="AG10" s="3" t="s">
        <v>134</v>
      </c>
    </row>
    <row r="11" customFormat="false" ht="15" hidden="false" customHeight="false" outlineLevel="0" collapsed="false">
      <c r="B11" s="3" t="s">
        <v>135</v>
      </c>
      <c r="C11" s="3" t="s">
        <v>135</v>
      </c>
      <c r="D11" s="3" t="s">
        <v>135</v>
      </c>
      <c r="E11" s="3" t="s">
        <v>67</v>
      </c>
      <c r="F11" s="3" t="n">
        <v>2.1</v>
      </c>
      <c r="G11" s="3" t="n">
        <v>0.05</v>
      </c>
      <c r="H11" s="3" t="s">
        <v>30</v>
      </c>
      <c r="I11" s="3" t="n">
        <v>493</v>
      </c>
      <c r="J11" s="3" t="n">
        <v>17</v>
      </c>
      <c r="K11" s="3" t="n">
        <v>0.6</v>
      </c>
      <c r="L11" s="3" t="s">
        <v>30</v>
      </c>
      <c r="M11" s="3" t="n">
        <v>493</v>
      </c>
      <c r="N11" s="28" t="n">
        <v>0</v>
      </c>
      <c r="P11" s="3" t="s">
        <v>30</v>
      </c>
      <c r="Q11" s="3" t="n">
        <v>493</v>
      </c>
      <c r="R11" s="3" t="n">
        <v>15</v>
      </c>
      <c r="S11" s="28" t="n">
        <v>50</v>
      </c>
      <c r="T11" s="28" t="s">
        <v>136</v>
      </c>
      <c r="U11" s="3" t="s">
        <v>137</v>
      </c>
      <c r="W11" s="3" t="s">
        <v>138</v>
      </c>
      <c r="X11" s="3" t="n">
        <v>1</v>
      </c>
      <c r="Y11" s="3" t="s">
        <v>66</v>
      </c>
      <c r="Z11" s="3" t="n">
        <v>2</v>
      </c>
      <c r="AA11" s="3" t="s">
        <v>94</v>
      </c>
      <c r="AD11" s="3" t="s">
        <v>93</v>
      </c>
      <c r="AE11" s="3" t="s">
        <v>135</v>
      </c>
      <c r="AG11" s="29" t="s">
        <v>71</v>
      </c>
    </row>
    <row r="12" customFormat="false" ht="15" hidden="false" customHeight="false" outlineLevel="0" collapsed="false">
      <c r="B12" s="3" t="s">
        <v>139</v>
      </c>
      <c r="C12" s="3" t="s">
        <v>139</v>
      </c>
      <c r="D12" s="3" t="s">
        <v>139</v>
      </c>
      <c r="E12" s="3" t="s">
        <v>67</v>
      </c>
      <c r="F12" s="3" t="n">
        <v>2</v>
      </c>
      <c r="G12" s="3" t="n">
        <v>0.1</v>
      </c>
      <c r="H12" s="3" t="s">
        <v>30</v>
      </c>
      <c r="I12" s="3" t="n">
        <v>493</v>
      </c>
      <c r="J12" s="3" t="n">
        <v>14.7</v>
      </c>
      <c r="K12" s="3" t="n">
        <v>1</v>
      </c>
      <c r="L12" s="3" t="s">
        <v>30</v>
      </c>
      <c r="M12" s="3" t="n">
        <v>493</v>
      </c>
      <c r="N12" s="28" t="n">
        <v>0</v>
      </c>
      <c r="P12" s="3" t="s">
        <v>30</v>
      </c>
      <c r="Q12" s="3" t="n">
        <v>493</v>
      </c>
      <c r="R12" s="3" t="n">
        <v>15</v>
      </c>
      <c r="S12" s="28" t="n">
        <v>50</v>
      </c>
      <c r="T12" s="28" t="s">
        <v>140</v>
      </c>
      <c r="U12" s="3" t="s">
        <v>141</v>
      </c>
      <c r="W12" s="3" t="s">
        <v>142</v>
      </c>
      <c r="X12" s="3" t="n">
        <v>1</v>
      </c>
      <c r="Y12" s="3" t="s">
        <v>66</v>
      </c>
      <c r="Z12" s="3" t="n">
        <v>3</v>
      </c>
      <c r="AA12" s="3" t="s">
        <v>94</v>
      </c>
      <c r="AD12" s="3" t="s">
        <v>93</v>
      </c>
      <c r="AE12" s="3" t="s">
        <v>139</v>
      </c>
      <c r="AG12" s="29" t="s">
        <v>66</v>
      </c>
    </row>
    <row r="13" customFormat="false" ht="15" hidden="false" customHeight="false" outlineLevel="0" collapsed="false">
      <c r="B13" s="25" t="s">
        <v>143</v>
      </c>
      <c r="C13" s="25" t="s">
        <v>143</v>
      </c>
      <c r="D13" s="25" t="s">
        <v>143</v>
      </c>
      <c r="E13" s="25" t="s">
        <v>67</v>
      </c>
      <c r="F13" s="25" t="n">
        <v>1.46</v>
      </c>
      <c r="G13" s="25" t="n">
        <v>0.1</v>
      </c>
      <c r="H13" s="3" t="s">
        <v>34</v>
      </c>
      <c r="I13" s="3" t="n">
        <v>494</v>
      </c>
      <c r="J13" s="25" t="n">
        <v>14</v>
      </c>
      <c r="K13" s="25" t="n">
        <v>5</v>
      </c>
      <c r="L13" s="3" t="s">
        <v>36</v>
      </c>
      <c r="M13" s="3" t="n">
        <v>494</v>
      </c>
      <c r="N13" s="28"/>
      <c r="O13" s="27"/>
      <c r="P13" s="27"/>
      <c r="Q13" s="27"/>
      <c r="R13" s="27"/>
      <c r="S13" s="27"/>
      <c r="T13" s="27" t="s">
        <v>144</v>
      </c>
      <c r="U13" s="25" t="s">
        <v>145</v>
      </c>
      <c r="W13" s="25" t="s">
        <v>146</v>
      </c>
      <c r="X13" s="25" t="n">
        <v>1</v>
      </c>
      <c r="Y13" s="3" t="s">
        <v>66</v>
      </c>
      <c r="Z13" s="3" t="n">
        <v>4</v>
      </c>
      <c r="AA13" s="3" t="s">
        <v>94</v>
      </c>
      <c r="AD13" s="3" t="s">
        <v>93</v>
      </c>
      <c r="AE13" s="3" t="s">
        <v>143</v>
      </c>
      <c r="AG13" s="3" t="s">
        <v>147</v>
      </c>
    </row>
    <row r="14" customFormat="false" ht="15" hidden="false" customHeight="false" outlineLevel="0" collapsed="false">
      <c r="B14" s="3" t="s">
        <v>148</v>
      </c>
      <c r="C14" s="3" t="s">
        <v>148</v>
      </c>
      <c r="D14" s="3" t="s">
        <v>148</v>
      </c>
      <c r="E14" s="3" t="s">
        <v>67</v>
      </c>
      <c r="F14" s="30" t="n">
        <v>6.45</v>
      </c>
      <c r="G14" s="3" t="n">
        <v>0.7</v>
      </c>
      <c r="H14" s="3" t="s">
        <v>36</v>
      </c>
      <c r="I14" s="3" t="n">
        <v>495</v>
      </c>
      <c r="N14" s="28"/>
      <c r="O14" s="28"/>
      <c r="P14" s="28"/>
      <c r="Q14" s="28"/>
      <c r="R14" s="28"/>
      <c r="S14" s="28"/>
      <c r="T14" s="28" t="s">
        <v>149</v>
      </c>
      <c r="U14" s="3" t="s">
        <v>150</v>
      </c>
      <c r="W14" s="3" t="s">
        <v>151</v>
      </c>
      <c r="X14" s="3" t="n">
        <v>1</v>
      </c>
      <c r="Y14" s="3" t="s">
        <v>66</v>
      </c>
      <c r="Z14" s="3" t="n">
        <v>1</v>
      </c>
      <c r="AA14" s="3" t="s">
        <v>101</v>
      </c>
      <c r="AD14" s="3" t="s">
        <v>93</v>
      </c>
      <c r="AE14" s="3" t="s">
        <v>148</v>
      </c>
    </row>
    <row r="15" customFormat="false" ht="15" hidden="false" customHeight="false" outlineLevel="0" collapsed="false">
      <c r="B15" s="3" t="s">
        <v>152</v>
      </c>
      <c r="C15" s="3" t="s">
        <v>152</v>
      </c>
      <c r="D15" s="3" t="s">
        <v>152</v>
      </c>
      <c r="E15" s="3" t="s">
        <v>67</v>
      </c>
      <c r="F15" s="3" t="n">
        <v>10.13</v>
      </c>
      <c r="G15" s="3" t="n">
        <v>0.24</v>
      </c>
      <c r="H15" s="3" t="s">
        <v>30</v>
      </c>
      <c r="I15" s="3" t="n">
        <v>495</v>
      </c>
      <c r="N15" s="28"/>
      <c r="O15" s="28"/>
      <c r="P15" s="28"/>
      <c r="Q15" s="28"/>
      <c r="R15" s="28"/>
      <c r="S15" s="28"/>
      <c r="T15" s="28" t="s">
        <v>153</v>
      </c>
      <c r="U15" s="3" t="s">
        <v>154</v>
      </c>
      <c r="W15" s="3" t="s">
        <v>155</v>
      </c>
      <c r="X15" s="3" t="n">
        <v>1</v>
      </c>
      <c r="Y15" s="3" t="s">
        <v>66</v>
      </c>
      <c r="Z15" s="3" t="n">
        <v>2</v>
      </c>
      <c r="AA15" s="3" t="s">
        <v>101</v>
      </c>
      <c r="AD15" s="3" t="s">
        <v>93</v>
      </c>
      <c r="AE15" s="3" t="s">
        <v>152</v>
      </c>
    </row>
    <row r="16" customFormat="false" ht="15" hidden="false" customHeight="false" outlineLevel="0" collapsed="false">
      <c r="B16" s="3" t="s">
        <v>156</v>
      </c>
      <c r="C16" s="3" t="s">
        <v>156</v>
      </c>
      <c r="D16" s="3" t="s">
        <v>156</v>
      </c>
      <c r="E16" s="3" t="s">
        <v>67</v>
      </c>
      <c r="F16" s="3" t="n">
        <v>3</v>
      </c>
      <c r="G16" s="3" t="n">
        <v>0.4</v>
      </c>
      <c r="H16" s="3" t="s">
        <v>36</v>
      </c>
      <c r="I16" s="3" t="n">
        <v>495</v>
      </c>
      <c r="N16" s="28"/>
      <c r="O16" s="28"/>
      <c r="P16" s="28"/>
      <c r="Q16" s="28"/>
      <c r="R16" s="28"/>
      <c r="S16" s="28"/>
      <c r="T16" s="28" t="s">
        <v>157</v>
      </c>
      <c r="U16" s="3" t="s">
        <v>158</v>
      </c>
      <c r="W16" s="3" t="s">
        <v>159</v>
      </c>
      <c r="X16" s="3" t="n">
        <v>1</v>
      </c>
      <c r="Y16" s="3" t="s">
        <v>66</v>
      </c>
      <c r="Z16" s="3" t="n">
        <v>1</v>
      </c>
      <c r="AA16" s="3" t="s">
        <v>119</v>
      </c>
      <c r="AD16" s="3" t="s">
        <v>93</v>
      </c>
      <c r="AE16" s="3" t="s">
        <v>156</v>
      </c>
    </row>
    <row r="17" customFormat="false" ht="15" hidden="false" customHeight="false" outlineLevel="0" collapsed="false">
      <c r="B17" s="25" t="s">
        <v>160</v>
      </c>
      <c r="C17" s="25" t="s">
        <v>160</v>
      </c>
      <c r="D17" s="25" t="s">
        <v>160</v>
      </c>
      <c r="E17" s="25" t="s">
        <v>67</v>
      </c>
      <c r="F17" s="25" t="n">
        <v>10.9</v>
      </c>
      <c r="G17" s="25" t="n">
        <v>0.2</v>
      </c>
      <c r="H17" s="3" t="s">
        <v>30</v>
      </c>
      <c r="I17" s="3" t="n">
        <v>496</v>
      </c>
      <c r="N17" s="28"/>
      <c r="O17" s="27"/>
      <c r="P17" s="27"/>
      <c r="Q17" s="27"/>
      <c r="R17" s="27"/>
      <c r="S17" s="27"/>
      <c r="T17" s="27" t="s">
        <v>161</v>
      </c>
      <c r="U17" s="25" t="s">
        <v>162</v>
      </c>
      <c r="W17" s="25" t="s">
        <v>163</v>
      </c>
      <c r="X17" s="25" t="n">
        <v>1</v>
      </c>
      <c r="Y17" s="3" t="s">
        <v>66</v>
      </c>
      <c r="Z17" s="3" t="n">
        <v>1</v>
      </c>
      <c r="AA17" s="3" t="s">
        <v>101</v>
      </c>
      <c r="AB17" s="3" t="n">
        <v>1</v>
      </c>
      <c r="AC17" s="3" t="s">
        <v>134</v>
      </c>
      <c r="AD17" s="3" t="s">
        <v>93</v>
      </c>
      <c r="AE17" s="3" t="s">
        <v>160</v>
      </c>
    </row>
    <row r="18" customFormat="false" ht="15" hidden="false" customHeight="false" outlineLevel="0" collapsed="false">
      <c r="B18" s="25" t="s">
        <v>164</v>
      </c>
      <c r="C18" s="25" t="s">
        <v>164</v>
      </c>
      <c r="D18" s="25" t="s">
        <v>164</v>
      </c>
      <c r="E18" s="25" t="s">
        <v>67</v>
      </c>
      <c r="F18" s="25" t="n">
        <v>6.47</v>
      </c>
      <c r="G18" s="25" t="n">
        <v>0.16</v>
      </c>
      <c r="H18" s="3" t="s">
        <v>30</v>
      </c>
      <c r="I18" s="3" t="n">
        <v>496</v>
      </c>
      <c r="N18" s="28"/>
      <c r="O18" s="27"/>
      <c r="P18" s="27"/>
      <c r="Q18" s="27"/>
      <c r="R18" s="27"/>
      <c r="S18" s="27"/>
      <c r="T18" s="27" t="s">
        <v>165</v>
      </c>
      <c r="U18" s="25" t="s">
        <v>166</v>
      </c>
      <c r="W18" s="25" t="s">
        <v>167</v>
      </c>
      <c r="X18" s="25" t="n">
        <v>1</v>
      </c>
      <c r="Y18" s="3" t="s">
        <v>66</v>
      </c>
      <c r="Z18" s="3" t="n">
        <v>1</v>
      </c>
      <c r="AA18" s="3" t="s">
        <v>101</v>
      </c>
      <c r="AB18" s="3" t="n">
        <v>1</v>
      </c>
      <c r="AC18" s="3" t="s">
        <v>94</v>
      </c>
      <c r="AD18" s="3" t="s">
        <v>93</v>
      </c>
      <c r="AE18" s="3" t="s">
        <v>164</v>
      </c>
    </row>
    <row r="19" customFormat="false" ht="15" hidden="false" customHeight="false" outlineLevel="0" collapsed="false">
      <c r="B19" s="3" t="s">
        <v>168</v>
      </c>
      <c r="C19" s="3" t="s">
        <v>168</v>
      </c>
      <c r="D19" s="3" t="s">
        <v>168</v>
      </c>
      <c r="E19" s="3" t="s">
        <v>67</v>
      </c>
      <c r="F19" s="3" t="n">
        <v>4.2</v>
      </c>
      <c r="G19" s="3" t="n">
        <v>0.2</v>
      </c>
      <c r="H19" s="3" t="s">
        <v>36</v>
      </c>
      <c r="I19" s="3" t="n">
        <v>497</v>
      </c>
      <c r="N19" s="28"/>
      <c r="O19" s="28"/>
      <c r="P19" s="28"/>
      <c r="Q19" s="28"/>
      <c r="R19" s="28"/>
      <c r="S19" s="28"/>
      <c r="T19" s="28" t="s">
        <v>169</v>
      </c>
      <c r="U19" s="3" t="s">
        <v>170</v>
      </c>
      <c r="W19" s="3" t="s">
        <v>171</v>
      </c>
      <c r="X19" s="3" t="n">
        <v>1</v>
      </c>
      <c r="Y19" s="3" t="s">
        <v>66</v>
      </c>
      <c r="Z19" s="3" t="n">
        <v>1</v>
      </c>
      <c r="AA19" s="3" t="s">
        <v>124</v>
      </c>
      <c r="AD19" s="3" t="s">
        <v>93</v>
      </c>
      <c r="AE19" s="3" t="s">
        <v>168</v>
      </c>
    </row>
    <row r="20" customFormat="false" ht="15" hidden="false" customHeight="false" outlineLevel="0" collapsed="false">
      <c r="A20" s="24" t="s">
        <v>172</v>
      </c>
      <c r="B20" s="25" t="s">
        <v>173</v>
      </c>
      <c r="C20" s="25" t="s">
        <v>173</v>
      </c>
      <c r="D20" s="25" t="s">
        <v>173</v>
      </c>
      <c r="E20" s="25" t="s">
        <v>67</v>
      </c>
      <c r="F20" s="26" t="n">
        <v>6.5</v>
      </c>
      <c r="G20" s="25"/>
      <c r="H20" s="3" t="s">
        <v>36</v>
      </c>
      <c r="I20" s="3" t="n">
        <v>497</v>
      </c>
      <c r="J20" s="25"/>
      <c r="K20" s="25"/>
      <c r="N20" s="28"/>
      <c r="O20" s="27"/>
      <c r="P20" s="27"/>
      <c r="Q20" s="27"/>
      <c r="R20" s="27"/>
      <c r="S20" s="27"/>
      <c r="T20" s="27" t="s">
        <v>174</v>
      </c>
      <c r="U20" s="25" t="s">
        <v>175</v>
      </c>
      <c r="W20" s="25" t="s">
        <v>176</v>
      </c>
      <c r="X20" s="25" t="n">
        <v>1</v>
      </c>
      <c r="Y20" s="3" t="s">
        <v>66</v>
      </c>
      <c r="Z20" s="3" t="n">
        <v>2</v>
      </c>
      <c r="AA20" s="3" t="s">
        <v>124</v>
      </c>
      <c r="AD20" s="3" t="s">
        <v>93</v>
      </c>
      <c r="AE20" s="3" t="s">
        <v>173</v>
      </c>
    </row>
    <row r="21" customFormat="false" ht="15" hidden="false" customHeight="false" outlineLevel="0" collapsed="false">
      <c r="A21" s="24" t="s">
        <v>177</v>
      </c>
      <c r="B21" s="25" t="s">
        <v>178</v>
      </c>
      <c r="C21" s="25" t="s">
        <v>178</v>
      </c>
      <c r="D21" s="25" t="s">
        <v>178</v>
      </c>
      <c r="E21" s="25" t="s">
        <v>67</v>
      </c>
      <c r="F21" s="26" t="n">
        <v>2.8</v>
      </c>
      <c r="G21" s="25"/>
      <c r="H21" s="3" t="s">
        <v>36</v>
      </c>
      <c r="I21" s="3" t="n">
        <v>497</v>
      </c>
      <c r="J21" s="25"/>
      <c r="K21" s="25"/>
      <c r="N21" s="28"/>
      <c r="O21" s="27"/>
      <c r="P21" s="27"/>
      <c r="Q21" s="27"/>
      <c r="R21" s="27"/>
      <c r="S21" s="27"/>
      <c r="T21" s="27" t="s">
        <v>179</v>
      </c>
      <c r="U21" s="25" t="s">
        <v>180</v>
      </c>
      <c r="W21" s="25" t="s">
        <v>181</v>
      </c>
      <c r="X21" s="25" t="n">
        <v>1</v>
      </c>
      <c r="Y21" s="3" t="s">
        <v>66</v>
      </c>
      <c r="Z21" s="3" t="n">
        <v>1</v>
      </c>
      <c r="AA21" s="3" t="s">
        <v>114</v>
      </c>
      <c r="AD21" s="3" t="s">
        <v>93</v>
      </c>
      <c r="AE21" s="3" t="s">
        <v>178</v>
      </c>
    </row>
    <row r="22" customFormat="false" ht="15" hidden="false" customHeight="false" outlineLevel="0" collapsed="false">
      <c r="B22" s="3" t="s">
        <v>182</v>
      </c>
      <c r="C22" s="3" t="s">
        <v>182</v>
      </c>
      <c r="D22" s="3" t="s">
        <v>182</v>
      </c>
      <c r="E22" s="3" t="s">
        <v>67</v>
      </c>
      <c r="F22" s="3" t="n">
        <v>2.72</v>
      </c>
      <c r="G22" s="3" t="n">
        <v>0.05</v>
      </c>
      <c r="H22" s="3" t="s">
        <v>30</v>
      </c>
      <c r="I22" s="3" t="n">
        <v>498</v>
      </c>
      <c r="J22" s="25" t="n">
        <v>9.2</v>
      </c>
      <c r="K22" s="25" t="n">
        <v>0.5</v>
      </c>
      <c r="L22" s="3" t="s">
        <v>30</v>
      </c>
      <c r="M22" s="3" t="n">
        <v>499</v>
      </c>
      <c r="N22" s="28"/>
      <c r="O22" s="28"/>
      <c r="P22" s="28"/>
      <c r="Q22" s="28"/>
      <c r="R22" s="28" t="n">
        <v>25</v>
      </c>
      <c r="S22" s="28"/>
      <c r="T22" s="28" t="s">
        <v>183</v>
      </c>
      <c r="U22" s="3" t="s">
        <v>184</v>
      </c>
      <c r="W22" s="3" t="s">
        <v>185</v>
      </c>
      <c r="X22" s="3" t="n">
        <v>1</v>
      </c>
      <c r="Y22" s="3" t="s">
        <v>66</v>
      </c>
      <c r="Z22" s="3" t="n">
        <v>1</v>
      </c>
      <c r="AA22" s="3" t="s">
        <v>147</v>
      </c>
      <c r="AD22" s="3" t="s">
        <v>93</v>
      </c>
      <c r="AE22" s="3" t="s">
        <v>182</v>
      </c>
    </row>
    <row r="23" customFormat="false" ht="15" hidden="false" customHeight="false" outlineLevel="0" collapsed="false">
      <c r="B23" s="25" t="s">
        <v>186</v>
      </c>
      <c r="C23" s="25" t="s">
        <v>186</v>
      </c>
      <c r="D23" s="25" t="s">
        <v>186</v>
      </c>
      <c r="E23" s="25" t="s">
        <v>67</v>
      </c>
      <c r="F23" s="31" t="n">
        <v>3.15</v>
      </c>
      <c r="G23" s="25" t="n">
        <v>0.5</v>
      </c>
      <c r="H23" s="3" t="s">
        <v>36</v>
      </c>
      <c r="I23" s="3" t="n">
        <v>498</v>
      </c>
      <c r="J23" s="25" t="n">
        <v>18.4</v>
      </c>
      <c r="K23" s="25" t="n">
        <v>1</v>
      </c>
      <c r="L23" s="3" t="s">
        <v>30</v>
      </c>
      <c r="M23" s="3" t="n">
        <v>499</v>
      </c>
      <c r="N23" s="28"/>
      <c r="O23" s="27"/>
      <c r="P23" s="27"/>
      <c r="Q23" s="27"/>
      <c r="R23" s="27" t="n">
        <v>25</v>
      </c>
      <c r="S23" s="27"/>
      <c r="T23" s="27" t="s">
        <v>187</v>
      </c>
      <c r="U23" s="25" t="s">
        <v>188</v>
      </c>
      <c r="W23" s="25" t="s">
        <v>189</v>
      </c>
      <c r="X23" s="25" t="n">
        <v>1</v>
      </c>
      <c r="Y23" s="3" t="s">
        <v>66</v>
      </c>
      <c r="Z23" s="3" t="n">
        <v>2</v>
      </c>
      <c r="AA23" s="3" t="s">
        <v>147</v>
      </c>
      <c r="AD23" s="3" t="s">
        <v>93</v>
      </c>
      <c r="AE23" s="3" t="s">
        <v>186</v>
      </c>
    </row>
    <row r="24" customFormat="false" ht="15" hidden="false" customHeight="false" outlineLevel="0" collapsed="false">
      <c r="A24" s="24" t="s">
        <v>190</v>
      </c>
      <c r="B24" s="25" t="s">
        <v>191</v>
      </c>
      <c r="C24" s="25" t="s">
        <v>191</v>
      </c>
      <c r="D24" s="25" t="s">
        <v>192</v>
      </c>
      <c r="E24" s="25" t="s">
        <v>67</v>
      </c>
      <c r="F24" s="26" t="n">
        <v>12.5</v>
      </c>
      <c r="G24" s="25"/>
      <c r="H24" s="3" t="s">
        <v>36</v>
      </c>
      <c r="I24" s="3" t="n">
        <v>504</v>
      </c>
      <c r="J24" s="25"/>
      <c r="K24" s="25"/>
      <c r="N24" s="28"/>
      <c r="O24" s="27"/>
      <c r="P24" s="27"/>
      <c r="Q24" s="27"/>
      <c r="R24" s="27"/>
      <c r="S24" s="27"/>
      <c r="T24" s="27" t="s">
        <v>193</v>
      </c>
      <c r="U24" s="25" t="s">
        <v>194</v>
      </c>
      <c r="W24" s="25" t="s">
        <v>195</v>
      </c>
      <c r="X24" s="25" t="n">
        <v>1</v>
      </c>
      <c r="Y24" s="3" t="s">
        <v>66</v>
      </c>
      <c r="Z24" s="3" t="n">
        <v>2</v>
      </c>
      <c r="AA24" s="3" t="s">
        <v>129</v>
      </c>
      <c r="AD24" s="3" t="s">
        <v>93</v>
      </c>
      <c r="AE24" s="3" t="s">
        <v>191</v>
      </c>
    </row>
    <row r="25" customFormat="false" ht="15" hidden="false" customHeight="false" outlineLevel="0" collapsed="false">
      <c r="A25" s="24" t="s">
        <v>196</v>
      </c>
      <c r="B25" s="25" t="s">
        <v>197</v>
      </c>
      <c r="C25" s="25" t="s">
        <v>197</v>
      </c>
      <c r="D25" s="25" t="s">
        <v>198</v>
      </c>
      <c r="E25" s="25" t="s">
        <v>67</v>
      </c>
      <c r="F25" s="26" t="n">
        <v>6.1</v>
      </c>
      <c r="G25" s="25"/>
      <c r="H25" s="3" t="s">
        <v>36</v>
      </c>
      <c r="I25" s="3" t="n">
        <v>506</v>
      </c>
      <c r="N25" s="28"/>
      <c r="O25" s="27"/>
      <c r="P25" s="27"/>
      <c r="Q25" s="27"/>
      <c r="R25" s="27"/>
      <c r="S25" s="27"/>
      <c r="T25" s="27" t="s">
        <v>199</v>
      </c>
      <c r="U25" s="25" t="s">
        <v>200</v>
      </c>
      <c r="W25" s="25" t="s">
        <v>201</v>
      </c>
      <c r="X25" s="25" t="n">
        <v>1</v>
      </c>
      <c r="Y25" s="3" t="s">
        <v>66</v>
      </c>
      <c r="Z25" s="3" t="n">
        <v>2</v>
      </c>
      <c r="AA25" s="3" t="s">
        <v>129</v>
      </c>
      <c r="AB25" s="3" t="n">
        <v>-1</v>
      </c>
      <c r="AC25" s="3" t="s">
        <v>100</v>
      </c>
      <c r="AD25" s="3" t="s">
        <v>93</v>
      </c>
      <c r="AE25" s="3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2" activeCellId="0" sqref="T2"/>
    </sheetView>
  </sheetViews>
  <sheetFormatPr defaultColWidth="42.81640625" defaultRowHeight="15" zeroHeight="false" outlineLevelRow="0" outlineLevelCol="0"/>
  <cols>
    <col collapsed="false" customWidth="true" hidden="false" outlineLevel="0" max="1" min="1" style="28" width="20"/>
    <col collapsed="false" customWidth="true" hidden="false" outlineLevel="0" max="3" min="2" style="3" width="14.2"/>
    <col collapsed="false" customWidth="true" hidden="false" outlineLevel="0" max="5" min="4" style="3" width="12"/>
    <col collapsed="false" customWidth="true" hidden="false" outlineLevel="0" max="6" min="6" style="3" width="6.79"/>
    <col collapsed="false" customWidth="true" hidden="false" outlineLevel="0" max="7" min="7" style="3" width="10.2"/>
    <col collapsed="false" customWidth="true" hidden="false" outlineLevel="0" max="8" min="8" style="3" width="16.9"/>
    <col collapsed="false" customWidth="true" hidden="false" outlineLevel="0" max="10" min="9" style="3" width="13.2"/>
    <col collapsed="false" customWidth="true" hidden="false" outlineLevel="0" max="13" min="11" style="3" width="18.8"/>
    <col collapsed="false" customWidth="true" hidden="false" outlineLevel="0" max="14" min="14" style="3" width="16"/>
    <col collapsed="false" customWidth="true" hidden="false" outlineLevel="0" max="17" min="15" style="3" width="21.79"/>
    <col collapsed="false" customWidth="true" hidden="false" outlineLevel="0" max="18" min="18" style="3" width="6"/>
    <col collapsed="false" customWidth="true" hidden="false" outlineLevel="0" max="19" min="19" style="3" width="6.3"/>
    <col collapsed="false" customWidth="true" hidden="false" outlineLevel="0" max="20" min="20" style="3" width="38.7"/>
    <col collapsed="false" customWidth="true" hidden="false" outlineLevel="0" max="21" min="21" style="3" width="13.5"/>
    <col collapsed="false" customWidth="true" hidden="false" outlineLevel="0" max="22" min="22" style="3" width="39"/>
    <col collapsed="false" customWidth="true" hidden="false" outlineLevel="0" max="23" min="23" style="3" width="5.5"/>
    <col collapsed="false" customWidth="true" hidden="false" outlineLevel="0" max="24" min="24" style="3" width="2.2"/>
    <col collapsed="false" customWidth="true" hidden="false" outlineLevel="0" max="25" min="25" style="3" width="5.2"/>
    <col collapsed="false" customWidth="true" hidden="false" outlineLevel="0" max="26" min="26" style="3" width="2.2"/>
    <col collapsed="false" customWidth="true" hidden="false" outlineLevel="0" max="27" min="27" style="3" width="7.3"/>
    <col collapsed="false" customWidth="true" hidden="false" outlineLevel="0" max="28" min="28" style="3" width="6.2"/>
    <col collapsed="false" customWidth="true" hidden="false" outlineLevel="0" max="29" min="29" style="3" width="4.3"/>
    <col collapsed="false" customWidth="true" hidden="false" outlineLevel="0" max="30" min="30" style="3" width="3.3"/>
    <col collapsed="false" customWidth="true" hidden="false" outlineLevel="0" max="31" min="31" style="3" width="2.2"/>
    <col collapsed="false" customWidth="true" hidden="false" outlineLevel="0" max="32" min="32" style="3" width="16.7"/>
    <col collapsed="false" customWidth="true" hidden="false" outlineLevel="0" max="33" min="33" style="3" width="5.7"/>
    <col collapsed="false" customWidth="true" hidden="false" outlineLevel="0" max="34" min="34" style="3" width="26"/>
    <col collapsed="false" customWidth="false" hidden="false" outlineLevel="0" max="1024" min="35" style="3" width="42.8"/>
  </cols>
  <sheetData>
    <row r="1" customFormat="false" ht="15" hidden="false" customHeight="false" outlineLevel="0" collapsed="false">
      <c r="B1" s="3" t="s">
        <v>40</v>
      </c>
      <c r="C1" s="3" t="s">
        <v>41</v>
      </c>
      <c r="D1" s="3" t="s">
        <v>42</v>
      </c>
      <c r="E1" s="3" t="s">
        <v>59</v>
      </c>
      <c r="F1" s="3" t="s">
        <v>73</v>
      </c>
      <c r="G1" s="3" t="s">
        <v>74</v>
      </c>
      <c r="H1" s="3" t="s">
        <v>75</v>
      </c>
      <c r="I1" s="14" t="s">
        <v>76</v>
      </c>
      <c r="J1" s="3" t="s">
        <v>77</v>
      </c>
      <c r="K1" s="3" t="s">
        <v>78</v>
      </c>
      <c r="L1" s="3" t="s">
        <v>79</v>
      </c>
      <c r="M1" s="14" t="s">
        <v>76</v>
      </c>
      <c r="N1" s="3" t="s">
        <v>80</v>
      </c>
      <c r="O1" s="3" t="s">
        <v>81</v>
      </c>
      <c r="P1" s="3" t="s">
        <v>82</v>
      </c>
      <c r="Q1" s="14" t="s">
        <v>76</v>
      </c>
      <c r="R1" s="3" t="s">
        <v>83</v>
      </c>
      <c r="S1" s="3" t="s">
        <v>84</v>
      </c>
      <c r="T1" s="3" t="s">
        <v>85</v>
      </c>
      <c r="AH1" s="3" t="s">
        <v>86</v>
      </c>
    </row>
    <row r="2" customFormat="false" ht="15" hidden="false" customHeight="false" outlineLevel="0" collapsed="false">
      <c r="B2" s="3" t="s">
        <v>202</v>
      </c>
      <c r="C2" s="3" t="s">
        <v>202</v>
      </c>
      <c r="D2" s="3" t="s">
        <v>203</v>
      </c>
      <c r="E2" s="3" t="s">
        <v>70</v>
      </c>
      <c r="F2" s="3" t="n">
        <v>-12.62</v>
      </c>
      <c r="G2" s="3" t="n">
        <v>0.07</v>
      </c>
      <c r="H2" s="3" t="s">
        <v>30</v>
      </c>
      <c r="I2" s="3" t="n">
        <v>492</v>
      </c>
      <c r="J2" s="3" t="n">
        <v>66.1</v>
      </c>
      <c r="K2" s="3" t="n">
        <v>0.7</v>
      </c>
      <c r="L2" s="3" t="s">
        <v>36</v>
      </c>
      <c r="M2" s="3" t="n">
        <v>492</v>
      </c>
      <c r="N2" s="3" t="n">
        <v>0</v>
      </c>
      <c r="P2" s="3" t="s">
        <v>36</v>
      </c>
      <c r="Q2" s="3" t="n">
        <v>492</v>
      </c>
      <c r="R2" s="3" t="n">
        <v>20</v>
      </c>
      <c r="S2" s="3" t="n">
        <v>350</v>
      </c>
      <c r="T2" s="32" t="s">
        <v>204</v>
      </c>
      <c r="V2" s="3" t="s">
        <v>205</v>
      </c>
      <c r="X2" s="3" t="n">
        <v>1</v>
      </c>
      <c r="Y2" s="3" t="s">
        <v>66</v>
      </c>
      <c r="Z2" s="3" t="n">
        <v>1</v>
      </c>
      <c r="AA2" s="3" t="s">
        <v>99</v>
      </c>
      <c r="AB2" s="3" t="n">
        <v>-2</v>
      </c>
      <c r="AC2" s="3" t="s">
        <v>100</v>
      </c>
      <c r="AE2" s="3" t="s">
        <v>93</v>
      </c>
      <c r="AF2" s="3" t="s">
        <v>206</v>
      </c>
      <c r="AH2" s="3" t="s">
        <v>94</v>
      </c>
    </row>
    <row r="3" customFormat="false" ht="15" hidden="false" customHeight="false" outlineLevel="0" collapsed="false">
      <c r="B3" s="3" t="s">
        <v>207</v>
      </c>
      <c r="C3" s="3" t="s">
        <v>207</v>
      </c>
      <c r="D3" s="3" t="s">
        <v>203</v>
      </c>
      <c r="E3" s="3" t="s">
        <v>70</v>
      </c>
      <c r="F3" s="3" t="n">
        <v>-12.9</v>
      </c>
      <c r="G3" s="3" t="n">
        <v>0.08</v>
      </c>
      <c r="H3" s="3" t="s">
        <v>30</v>
      </c>
      <c r="I3" s="3" t="n">
        <v>492</v>
      </c>
      <c r="T3" s="32" t="s">
        <v>208</v>
      </c>
      <c r="V3" s="3" t="s">
        <v>209</v>
      </c>
      <c r="X3" s="3" t="n">
        <v>1</v>
      </c>
      <c r="Y3" s="3" t="s">
        <v>66</v>
      </c>
      <c r="Z3" s="3" t="n">
        <v>1</v>
      </c>
      <c r="AA3" s="3" t="s">
        <v>99</v>
      </c>
      <c r="AB3" s="3" t="n">
        <v>-2</v>
      </c>
      <c r="AC3" s="3" t="s">
        <v>100</v>
      </c>
      <c r="AE3" s="3" t="s">
        <v>93</v>
      </c>
      <c r="AF3" s="3" t="s">
        <v>210</v>
      </c>
      <c r="AH3" s="3" t="s">
        <v>101</v>
      </c>
    </row>
    <row r="4" customFormat="false" ht="15" hidden="false" customHeight="false" outlineLevel="0" collapsed="false">
      <c r="A4" s="24" t="s">
        <v>211</v>
      </c>
      <c r="B4" s="25" t="s">
        <v>212</v>
      </c>
      <c r="C4" s="25" t="s">
        <v>212</v>
      </c>
      <c r="D4" s="25" t="s">
        <v>213</v>
      </c>
      <c r="E4" s="25" t="s">
        <v>70</v>
      </c>
      <c r="F4" s="26" t="n">
        <v>13.27</v>
      </c>
      <c r="G4" s="25"/>
      <c r="H4" s="3" t="s">
        <v>30</v>
      </c>
      <c r="I4" s="3" t="n">
        <v>494</v>
      </c>
      <c r="J4" s="25"/>
      <c r="K4" s="25"/>
      <c r="L4" s="25"/>
      <c r="M4" s="25"/>
      <c r="N4" s="25"/>
      <c r="O4" s="25"/>
      <c r="P4" s="25"/>
      <c r="Q4" s="25"/>
      <c r="R4" s="25"/>
      <c r="S4" s="25"/>
      <c r="T4" s="32" t="s">
        <v>214</v>
      </c>
      <c r="U4" s="25"/>
      <c r="V4" s="25" t="s">
        <v>215</v>
      </c>
      <c r="X4" s="3" t="n">
        <v>1</v>
      </c>
      <c r="Y4" s="3" t="s">
        <v>66</v>
      </c>
      <c r="Z4" s="3" t="n">
        <v>1</v>
      </c>
      <c r="AA4" s="3" t="s">
        <v>94</v>
      </c>
      <c r="AB4" s="3" t="n">
        <v>1</v>
      </c>
      <c r="AC4" s="3" t="s">
        <v>134</v>
      </c>
      <c r="AE4" s="3" t="s">
        <v>93</v>
      </c>
      <c r="AF4" s="25" t="s">
        <v>212</v>
      </c>
      <c r="AH4" s="3" t="s">
        <v>100</v>
      </c>
    </row>
    <row r="5" customFormat="false" ht="15" hidden="false" customHeight="false" outlineLevel="0" collapsed="false">
      <c r="B5" s="3" t="s">
        <v>216</v>
      </c>
      <c r="C5" s="3" t="s">
        <v>216</v>
      </c>
      <c r="D5" s="3" t="s">
        <v>217</v>
      </c>
      <c r="E5" s="3" t="s">
        <v>70</v>
      </c>
      <c r="F5" s="3" t="n">
        <v>13.18</v>
      </c>
      <c r="G5" s="3" t="n">
        <v>0.07</v>
      </c>
      <c r="H5" s="3" t="s">
        <v>36</v>
      </c>
      <c r="I5" s="3" t="n">
        <v>496</v>
      </c>
      <c r="T5" s="32" t="s">
        <v>218</v>
      </c>
      <c r="V5" s="3" t="s">
        <v>219</v>
      </c>
      <c r="X5" s="3" t="n">
        <v>1</v>
      </c>
      <c r="Y5" s="3" t="s">
        <v>66</v>
      </c>
      <c r="Z5" s="3" t="n">
        <v>1</v>
      </c>
      <c r="AA5" s="3" t="s">
        <v>101</v>
      </c>
      <c r="AE5" s="3" t="s">
        <v>93</v>
      </c>
      <c r="AF5" s="3" t="s">
        <v>216</v>
      </c>
      <c r="AH5" s="3" t="s">
        <v>99</v>
      </c>
    </row>
    <row r="6" customFormat="false" ht="15" hidden="false" customHeight="false" outlineLevel="0" collapsed="false">
      <c r="B6" s="3" t="s">
        <v>220</v>
      </c>
      <c r="C6" s="3" t="s">
        <v>220</v>
      </c>
      <c r="D6" s="3" t="s">
        <v>221</v>
      </c>
      <c r="E6" s="3" t="s">
        <v>70</v>
      </c>
      <c r="F6" s="3" t="n">
        <v>19.86</v>
      </c>
      <c r="G6" s="3" t="n">
        <v>0.16</v>
      </c>
      <c r="H6" s="3" t="s">
        <v>36</v>
      </c>
      <c r="I6" s="3" t="n">
        <v>496</v>
      </c>
      <c r="T6" s="32" t="s">
        <v>222</v>
      </c>
      <c r="V6" s="3" t="s">
        <v>223</v>
      </c>
      <c r="X6" s="3" t="n">
        <v>2</v>
      </c>
      <c r="Y6" s="3" t="s">
        <v>66</v>
      </c>
      <c r="Z6" s="3" t="n">
        <v>1</v>
      </c>
      <c r="AA6" s="3" t="s">
        <v>101</v>
      </c>
      <c r="AB6" s="3" t="n">
        <v>2</v>
      </c>
      <c r="AC6" s="3" t="s">
        <v>94</v>
      </c>
      <c r="AE6" s="3" t="s">
        <v>93</v>
      </c>
      <c r="AF6" s="3" t="s">
        <v>220</v>
      </c>
      <c r="AH6" s="3" t="s">
        <v>124</v>
      </c>
    </row>
    <row r="7" customFormat="false" ht="15" hidden="false" customHeight="false" outlineLevel="0" collapsed="false">
      <c r="B7" s="3" t="s">
        <v>224</v>
      </c>
      <c r="C7" s="3" t="s">
        <v>224</v>
      </c>
      <c r="D7" s="3" t="s">
        <v>225</v>
      </c>
      <c r="E7" s="3" t="s">
        <v>70</v>
      </c>
      <c r="F7" s="3" t="n">
        <v>11.4</v>
      </c>
      <c r="G7" s="3" t="n">
        <v>0.3</v>
      </c>
      <c r="H7" s="3" t="s">
        <v>30</v>
      </c>
      <c r="I7" s="3" t="n">
        <v>497</v>
      </c>
      <c r="T7" s="32" t="s">
        <v>226</v>
      </c>
      <c r="V7" s="3" t="s">
        <v>227</v>
      </c>
      <c r="X7" s="3" t="n">
        <v>1</v>
      </c>
      <c r="Y7" s="3" t="s">
        <v>66</v>
      </c>
      <c r="Z7" s="3" t="n">
        <v>1</v>
      </c>
      <c r="AA7" s="3" t="s">
        <v>124</v>
      </c>
      <c r="AE7" s="3" t="s">
        <v>93</v>
      </c>
      <c r="AF7" s="3" t="s">
        <v>224</v>
      </c>
      <c r="AH7" s="3" t="s">
        <v>129</v>
      </c>
    </row>
    <row r="8" customFormat="false" ht="15" hidden="false" customHeight="false" outlineLevel="0" collapsed="false">
      <c r="B8" s="3" t="s">
        <v>228</v>
      </c>
      <c r="C8" s="3" t="s">
        <v>228</v>
      </c>
      <c r="D8" s="3" t="s">
        <v>229</v>
      </c>
      <c r="E8" s="3" t="s">
        <v>70</v>
      </c>
      <c r="F8" s="3" t="n">
        <v>44.4</v>
      </c>
      <c r="G8" s="3" t="n">
        <v>1</v>
      </c>
      <c r="H8" s="3" t="s">
        <v>30</v>
      </c>
      <c r="I8" s="3" t="n">
        <v>497</v>
      </c>
      <c r="T8" s="32" t="s">
        <v>230</v>
      </c>
      <c r="V8" s="3" t="s">
        <v>231</v>
      </c>
      <c r="X8" s="3" t="n">
        <v>3</v>
      </c>
      <c r="Y8" s="3" t="s">
        <v>66</v>
      </c>
      <c r="Z8" s="3" t="n">
        <v>2</v>
      </c>
      <c r="AA8" s="3" t="s">
        <v>232</v>
      </c>
      <c r="AE8" s="3" t="s">
        <v>93</v>
      </c>
      <c r="AF8" s="3" t="s">
        <v>228</v>
      </c>
      <c r="AH8" s="3" t="s">
        <v>134</v>
      </c>
    </row>
    <row r="9" customFormat="false" ht="15" hidden="false" customHeight="false" outlineLevel="0" collapsed="false">
      <c r="B9" s="25" t="s">
        <v>233</v>
      </c>
      <c r="C9" s="25" t="s">
        <v>233</v>
      </c>
      <c r="D9" s="25" t="s">
        <v>234</v>
      </c>
      <c r="E9" s="25" t="s">
        <v>70</v>
      </c>
      <c r="F9" s="25" t="n">
        <v>84.4</v>
      </c>
      <c r="G9" s="25" t="n">
        <v>2</v>
      </c>
      <c r="H9" s="3" t="s">
        <v>30</v>
      </c>
      <c r="I9" s="3" t="n">
        <v>498</v>
      </c>
      <c r="J9" s="25"/>
      <c r="K9" s="25"/>
      <c r="L9" s="25"/>
      <c r="M9" s="25"/>
      <c r="N9" s="25"/>
      <c r="O9" s="25"/>
      <c r="P9" s="25"/>
      <c r="Q9" s="25"/>
      <c r="R9" s="25"/>
      <c r="S9" s="25"/>
      <c r="T9" s="32" t="s">
        <v>235</v>
      </c>
      <c r="U9" s="25"/>
      <c r="V9" s="25" t="s">
        <v>236</v>
      </c>
      <c r="X9" s="3" t="n">
        <v>5</v>
      </c>
      <c r="Y9" s="3" t="s">
        <v>66</v>
      </c>
      <c r="Z9" s="3" t="n">
        <v>3</v>
      </c>
      <c r="AA9" s="3" t="s">
        <v>237</v>
      </c>
      <c r="AB9" s="3" t="n">
        <v>1</v>
      </c>
      <c r="AC9" s="3" t="s">
        <v>94</v>
      </c>
      <c r="AE9" s="3" t="s">
        <v>93</v>
      </c>
      <c r="AF9" s="25" t="s">
        <v>233</v>
      </c>
      <c r="AH9" s="29" t="s">
        <v>66</v>
      </c>
    </row>
    <row r="10" customFormat="false" ht="15" hidden="false" customHeight="false" outlineLevel="0" collapsed="false">
      <c r="B10" s="3" t="s">
        <v>238</v>
      </c>
      <c r="C10" s="3" t="s">
        <v>238</v>
      </c>
      <c r="D10" s="3" t="s">
        <v>239</v>
      </c>
      <c r="E10" s="3" t="s">
        <v>70</v>
      </c>
      <c r="F10" s="3" t="n">
        <v>12.28</v>
      </c>
      <c r="G10" s="3" t="n">
        <v>0.1</v>
      </c>
      <c r="H10" s="3" t="s">
        <v>36</v>
      </c>
      <c r="I10" s="3" t="n">
        <v>501</v>
      </c>
      <c r="T10" s="32" t="s">
        <v>240</v>
      </c>
      <c r="V10" s="3" t="s">
        <v>241</v>
      </c>
      <c r="X10" s="3" t="n">
        <v>1</v>
      </c>
      <c r="Y10" s="3" t="s">
        <v>66</v>
      </c>
      <c r="Z10" s="3" t="n">
        <v>1</v>
      </c>
      <c r="AA10" s="3" t="s">
        <v>129</v>
      </c>
      <c r="AB10" s="3" t="n">
        <v>-1</v>
      </c>
      <c r="AC10" s="3" t="s">
        <v>100</v>
      </c>
      <c r="AE10" s="3" t="s">
        <v>93</v>
      </c>
      <c r="AF10" s="3" t="s">
        <v>238</v>
      </c>
      <c r="AH10" s="3" t="s">
        <v>237</v>
      </c>
    </row>
    <row r="12" s="35" customFormat="true" ht="15" hidden="false" customHeight="false" outlineLevel="0" collapsed="false">
      <c r="A12" s="33"/>
      <c r="B12" s="34" t="s">
        <v>242</v>
      </c>
    </row>
    <row r="14" s="37" customFormat="true" ht="30.75" hidden="false" customHeight="false" outlineLevel="0" collapsed="false">
      <c r="A14" s="36" t="s">
        <v>243</v>
      </c>
      <c r="B14" s="37" t="s">
        <v>220</v>
      </c>
      <c r="C14" s="37" t="s">
        <v>220</v>
      </c>
      <c r="D14" s="37" t="s">
        <v>221</v>
      </c>
      <c r="E14" s="37" t="s">
        <v>70</v>
      </c>
      <c r="F14" s="37" t="n">
        <v>9.93</v>
      </c>
      <c r="G14" s="37" t="n">
        <v>0.08</v>
      </c>
      <c r="T14" s="37" t="s">
        <v>244</v>
      </c>
      <c r="V14" s="37" t="s">
        <v>245</v>
      </c>
      <c r="X14" s="37" t="n">
        <v>1</v>
      </c>
      <c r="Y14" s="37" t="s">
        <v>66</v>
      </c>
      <c r="Z14" s="37" t="s">
        <v>246</v>
      </c>
      <c r="AA14" s="37" t="n">
        <v>0.5</v>
      </c>
      <c r="AB14" s="37" t="s">
        <v>247</v>
      </c>
      <c r="AC14" s="37" t="n">
        <v>1</v>
      </c>
      <c r="AD14" s="37" t="s">
        <v>94</v>
      </c>
      <c r="AE14" s="37" t="s">
        <v>93</v>
      </c>
      <c r="AF14" s="37" t="s">
        <v>248</v>
      </c>
      <c r="AH14" s="3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37"/>
  <sheetViews>
    <sheetView showFormulas="false" showGridLines="true" showRowColHeaders="true" showZeros="true" rightToLeft="false" tabSelected="false" showOutlineSymbols="true" defaultGridColor="true" view="normal" topLeftCell="U1" colorId="64" zoomScale="70" zoomScaleNormal="70" zoomScalePageLayoutView="100" workbookViewId="0">
      <selection pane="topLeft" activeCell="AL2" activeCellId="0" sqref="AL2"/>
    </sheetView>
  </sheetViews>
  <sheetFormatPr defaultColWidth="10.8046875" defaultRowHeight="15" zeroHeight="false" outlineLevelRow="0" outlineLevelCol="0"/>
  <cols>
    <col collapsed="false" customWidth="false" hidden="false" outlineLevel="0" max="2" min="1" style="3" width="10.8"/>
    <col collapsed="false" customWidth="true" hidden="false" outlineLevel="0" max="3" min="3" style="3" width="8.79"/>
    <col collapsed="false" customWidth="true" hidden="false" outlineLevel="0" max="4" min="4" style="3" width="13.8"/>
    <col collapsed="false" customWidth="true" hidden="false" outlineLevel="0" max="5" min="5" style="3" width="5.2"/>
    <col collapsed="false" customWidth="true" hidden="false" outlineLevel="0" max="6" min="6" style="3" width="12.3"/>
    <col collapsed="false" customWidth="true" hidden="false" outlineLevel="0" max="7" min="7" style="3" width="14.5"/>
    <col collapsed="false" customWidth="true" hidden="false" outlineLevel="0" max="10" min="8" style="3" width="14.7"/>
    <col collapsed="false" customWidth="true" hidden="false" outlineLevel="0" max="11" min="11" style="3" width="11.2"/>
    <col collapsed="false" customWidth="true" hidden="false" outlineLevel="0" max="15" min="12" style="3" width="17.2"/>
    <col collapsed="false" customWidth="false" hidden="false" outlineLevel="0" max="16" min="16" style="3" width="10.8"/>
    <col collapsed="false" customWidth="true" hidden="false" outlineLevel="0" max="19" min="17" style="3" width="17"/>
    <col collapsed="false" customWidth="true" hidden="false" outlineLevel="0" max="20" min="20" style="3" width="8.79"/>
    <col collapsed="false" customWidth="true" hidden="false" outlineLevel="0" max="23" min="21" style="3" width="14.8"/>
    <col collapsed="false" customWidth="true" hidden="false" outlineLevel="0" max="24" min="24" style="3" width="18.3"/>
    <col collapsed="false" customWidth="true" hidden="false" outlineLevel="0" max="27" min="25" style="3" width="15.8"/>
    <col collapsed="false" customWidth="true" hidden="false" outlineLevel="0" max="28" min="28" style="3" width="8.5"/>
    <col collapsed="false" customWidth="true" hidden="false" outlineLevel="0" max="31" min="29" style="3" width="14.5"/>
    <col collapsed="false" customWidth="true" hidden="false" outlineLevel="0" max="32" min="32" style="3" width="17"/>
    <col collapsed="false" customWidth="true" hidden="false" outlineLevel="0" max="35" min="33" style="3" width="16.5"/>
    <col collapsed="false" customWidth="true" hidden="false" outlineLevel="0" max="36" min="36" style="3" width="15.7"/>
    <col collapsed="false" customWidth="true" hidden="false" outlineLevel="0" max="37" min="37" style="3" width="18.8"/>
    <col collapsed="false" customWidth="false" hidden="false" outlineLevel="0" max="1024" min="38" style="3" width="10.8"/>
  </cols>
  <sheetData>
    <row r="1" customFormat="false" ht="15" hidden="false" customHeight="false" outlineLevel="0" collapsed="false">
      <c r="A1" s="3" t="s">
        <v>249</v>
      </c>
      <c r="C1" s="3" t="s">
        <v>250</v>
      </c>
      <c r="D1" s="3" t="s">
        <v>251</v>
      </c>
      <c r="E1" s="3" t="s">
        <v>252</v>
      </c>
      <c r="F1" s="3" t="s">
        <v>253</v>
      </c>
      <c r="G1" s="3" t="s">
        <v>254</v>
      </c>
      <c r="H1" s="3" t="s">
        <v>255</v>
      </c>
      <c r="I1" s="3" t="s">
        <v>256</v>
      </c>
      <c r="J1" s="14" t="s">
        <v>76</v>
      </c>
      <c r="K1" s="3" t="s">
        <v>257</v>
      </c>
      <c r="L1" s="3" t="s">
        <v>258</v>
      </c>
      <c r="M1" s="3" t="s">
        <v>259</v>
      </c>
      <c r="N1" s="14" t="s">
        <v>76</v>
      </c>
      <c r="O1" s="3" t="s">
        <v>260</v>
      </c>
      <c r="P1" s="3" t="s">
        <v>261</v>
      </c>
      <c r="Q1" s="3" t="s">
        <v>262</v>
      </c>
      <c r="R1" s="3" t="s">
        <v>263</v>
      </c>
      <c r="S1" s="14" t="s">
        <v>76</v>
      </c>
      <c r="T1" s="3" t="s">
        <v>264</v>
      </c>
      <c r="U1" s="3" t="s">
        <v>265</v>
      </c>
      <c r="V1" s="3" t="s">
        <v>266</v>
      </c>
      <c r="W1" s="14" t="s">
        <v>76</v>
      </c>
      <c r="X1" s="3" t="s">
        <v>267</v>
      </c>
      <c r="Y1" s="3" t="s">
        <v>268</v>
      </c>
      <c r="Z1" s="3" t="s">
        <v>269</v>
      </c>
      <c r="AA1" s="14" t="s">
        <v>76</v>
      </c>
      <c r="AB1" s="3" t="s">
        <v>270</v>
      </c>
      <c r="AC1" s="3" t="s">
        <v>271</v>
      </c>
      <c r="AD1" s="3" t="s">
        <v>272</v>
      </c>
      <c r="AE1" s="14" t="s">
        <v>76</v>
      </c>
      <c r="AF1" s="3" t="s">
        <v>273</v>
      </c>
      <c r="AG1" s="3" t="s">
        <v>274</v>
      </c>
      <c r="AH1" s="3" t="s">
        <v>275</v>
      </c>
      <c r="AI1" s="14" t="s">
        <v>76</v>
      </c>
      <c r="AJ1" s="3" t="s">
        <v>276</v>
      </c>
      <c r="AK1" s="3" t="s">
        <v>277</v>
      </c>
      <c r="AL1" s="3" t="s">
        <v>278</v>
      </c>
      <c r="AM1" s="14" t="s">
        <v>76</v>
      </c>
    </row>
    <row r="2" customFormat="false" ht="16.5" hidden="false" customHeight="true" outlineLevel="0" collapsed="false">
      <c r="A2" s="38" t="str">
        <f aca="false">IF(D2=F2,"Match","No match")</f>
        <v>Match</v>
      </c>
      <c r="C2" s="3" t="n">
        <v>1</v>
      </c>
      <c r="D2" s="25" t="s">
        <v>88</v>
      </c>
      <c r="E2" s="3" t="n">
        <v>1</v>
      </c>
      <c r="F2" s="3" t="s">
        <v>88</v>
      </c>
      <c r="G2" s="39" t="n">
        <f aca="false">0.5*AF2</f>
        <v>0</v>
      </c>
      <c r="H2" s="40" t="n">
        <f aca="false">0.5*AG2</f>
        <v>0.05</v>
      </c>
      <c r="I2" s="41"/>
      <c r="J2" s="41"/>
      <c r="K2" s="40" t="n">
        <f aca="false">0.5*AJ2</f>
        <v>0</v>
      </c>
      <c r="L2" s="40" t="n">
        <f aca="false">0.5*AK2</f>
        <v>0.05</v>
      </c>
      <c r="M2" s="41"/>
      <c r="N2" s="41"/>
      <c r="O2" s="41"/>
      <c r="P2" s="29" t="n">
        <v>0</v>
      </c>
      <c r="T2" s="29" t="n">
        <v>0</v>
      </c>
      <c r="X2" s="40" t="n">
        <f aca="false">0.5*AF2</f>
        <v>0</v>
      </c>
      <c r="Y2" s="40" t="n">
        <f aca="false">0.5*AG2</f>
        <v>0.05</v>
      </c>
      <c r="Z2" s="41"/>
      <c r="AA2" s="41"/>
      <c r="AB2" s="29" t="n">
        <v>0</v>
      </c>
      <c r="AF2" s="3" t="n">
        <v>0</v>
      </c>
      <c r="AG2" s="3" t="n">
        <v>0.1</v>
      </c>
      <c r="AH2" s="3" t="s">
        <v>36</v>
      </c>
      <c r="AI2" s="3" t="n">
        <v>511</v>
      </c>
      <c r="AJ2" s="3" t="n">
        <v>0</v>
      </c>
      <c r="AK2" s="3" t="n">
        <v>0.1</v>
      </c>
      <c r="AL2" s="3" t="s">
        <v>36</v>
      </c>
      <c r="AM2" s="3" t="n">
        <v>511</v>
      </c>
    </row>
    <row r="3" customFormat="false" ht="16.5" hidden="false" customHeight="true" outlineLevel="0" collapsed="false">
      <c r="A3" s="38" t="str">
        <f aca="false">IF(D3=F3,"Match","No match")</f>
        <v>Match</v>
      </c>
      <c r="C3" s="3" t="n">
        <v>14</v>
      </c>
      <c r="D3" s="3" t="s">
        <v>152</v>
      </c>
      <c r="E3" s="3" t="n">
        <v>15</v>
      </c>
      <c r="F3" s="3" t="s">
        <v>152</v>
      </c>
      <c r="G3" s="3" t="n">
        <v>0</v>
      </c>
      <c r="K3" s="3" t="n">
        <v>0</v>
      </c>
      <c r="P3" s="29" t="n">
        <v>0</v>
      </c>
      <c r="X3" s="3" t="n">
        <v>-0.2</v>
      </c>
      <c r="Y3" s="3" t="n">
        <v>0.12</v>
      </c>
      <c r="Z3" s="3" t="s">
        <v>36</v>
      </c>
      <c r="AA3" s="3" t="n">
        <v>495</v>
      </c>
      <c r="AF3" s="41"/>
      <c r="AG3" s="41"/>
      <c r="AH3" s="41"/>
      <c r="AI3" s="41"/>
      <c r="AJ3" s="41"/>
      <c r="AK3" s="41"/>
    </row>
    <row r="4" customFormat="false" ht="16.5" hidden="false" customHeight="true" outlineLevel="0" collapsed="false">
      <c r="A4" s="38" t="str">
        <f aca="false">IF(D4=F4,"Match","No match")</f>
        <v>Match</v>
      </c>
      <c r="C4" s="3" t="n">
        <v>17</v>
      </c>
      <c r="D4" s="25" t="s">
        <v>164</v>
      </c>
      <c r="E4" s="3" t="n">
        <v>18</v>
      </c>
      <c r="F4" s="25" t="s">
        <v>164</v>
      </c>
      <c r="G4" s="25" t="n">
        <v>0</v>
      </c>
      <c r="K4" s="25" t="n">
        <v>0</v>
      </c>
      <c r="P4" s="29" t="n">
        <v>0</v>
      </c>
      <c r="X4" s="25" t="n">
        <v>-0.05</v>
      </c>
      <c r="Y4" s="3" t="n">
        <v>0.1</v>
      </c>
      <c r="Z4" s="3" t="s">
        <v>36</v>
      </c>
      <c r="AA4" s="3" t="n">
        <v>512</v>
      </c>
      <c r="AF4" s="42"/>
      <c r="AG4" s="41"/>
      <c r="AH4" s="41"/>
      <c r="AI4" s="41"/>
      <c r="AJ4" s="42"/>
      <c r="AK4" s="41"/>
    </row>
    <row r="5" customFormat="false" ht="16.5" hidden="false" customHeight="true" outlineLevel="0" collapsed="false">
      <c r="A5" s="38" t="str">
        <f aca="false">IF(D5=F5,"Match","No match")</f>
        <v>Match</v>
      </c>
      <c r="C5" s="3" t="n">
        <v>16</v>
      </c>
      <c r="D5" s="25" t="s">
        <v>160</v>
      </c>
      <c r="E5" s="3" t="n">
        <v>17</v>
      </c>
      <c r="F5" s="25" t="s">
        <v>160</v>
      </c>
      <c r="G5" s="25" t="n">
        <v>0</v>
      </c>
      <c r="K5" s="25" t="n">
        <v>0</v>
      </c>
      <c r="P5" s="29" t="n">
        <v>0</v>
      </c>
      <c r="X5" s="25" t="n">
        <v>-0.05</v>
      </c>
      <c r="Y5" s="3" t="n">
        <v>0.1</v>
      </c>
      <c r="Z5" s="3" t="s">
        <v>36</v>
      </c>
      <c r="AA5" s="3" t="n">
        <v>512</v>
      </c>
      <c r="AF5" s="42"/>
      <c r="AG5" s="41"/>
      <c r="AH5" s="41"/>
      <c r="AI5" s="41"/>
      <c r="AJ5" s="42"/>
      <c r="AK5" s="41"/>
    </row>
    <row r="6" customFormat="false" ht="16.5" hidden="false" customHeight="true" outlineLevel="0" collapsed="false">
      <c r="A6" s="38" t="str">
        <f aca="false">IF(D6=F6,"Match","No match")</f>
        <v>Match</v>
      </c>
      <c r="C6" s="3" t="n">
        <v>19</v>
      </c>
      <c r="D6" s="25" t="s">
        <v>173</v>
      </c>
      <c r="E6" s="3" t="n">
        <v>20</v>
      </c>
      <c r="F6" s="25" t="s">
        <v>173</v>
      </c>
      <c r="G6" s="25" t="n">
        <v>0</v>
      </c>
      <c r="K6" s="25" t="n">
        <v>0</v>
      </c>
      <c r="P6" s="29" t="n">
        <v>0</v>
      </c>
      <c r="X6" s="25" t="n">
        <v>-0.1</v>
      </c>
      <c r="Y6" s="3" t="n">
        <v>0.1</v>
      </c>
      <c r="Z6" s="3" t="s">
        <v>36</v>
      </c>
      <c r="AA6" s="3" t="n">
        <v>513</v>
      </c>
      <c r="AF6" s="42"/>
      <c r="AG6" s="41"/>
      <c r="AH6" s="41"/>
      <c r="AI6" s="41"/>
      <c r="AJ6" s="42"/>
      <c r="AK6" s="41"/>
    </row>
    <row r="7" customFormat="false" ht="16.5" hidden="false" customHeight="true" outlineLevel="0" collapsed="false">
      <c r="A7" s="38" t="str">
        <f aca="false">IF(D7=F7,"Match","No match")</f>
        <v>Match</v>
      </c>
      <c r="C7" s="3" t="n">
        <v>23</v>
      </c>
      <c r="D7" s="25" t="s">
        <v>191</v>
      </c>
      <c r="E7" s="3" t="n">
        <v>24</v>
      </c>
      <c r="F7" s="25" t="s">
        <v>191</v>
      </c>
      <c r="G7" s="39" t="n">
        <f aca="false">0.5*AF7</f>
        <v>0.0275</v>
      </c>
      <c r="H7" s="40" t="n">
        <f aca="false">0.5*AG7</f>
        <v>0.05</v>
      </c>
      <c r="I7" s="41"/>
      <c r="J7" s="41"/>
      <c r="K7" s="40" t="n">
        <f aca="false">0.5*AJ7</f>
        <v>0.0275</v>
      </c>
      <c r="L7" s="40" t="n">
        <f aca="false">0.5*AK7</f>
        <v>0.05</v>
      </c>
      <c r="M7" s="41"/>
      <c r="N7" s="41"/>
      <c r="O7" s="41"/>
      <c r="P7" s="29" t="n">
        <v>0</v>
      </c>
      <c r="T7" s="29" t="n">
        <v>0</v>
      </c>
      <c r="X7" s="40" t="n">
        <f aca="false">0.5*AF7</f>
        <v>0.0275</v>
      </c>
      <c r="Y7" s="40" t="n">
        <f aca="false">0.5*AG7</f>
        <v>0.05</v>
      </c>
      <c r="Z7" s="41"/>
      <c r="AA7" s="41"/>
      <c r="AB7" s="29" t="n">
        <v>0</v>
      </c>
      <c r="AF7" s="25" t="n">
        <v>0.055</v>
      </c>
      <c r="AG7" s="3" t="n">
        <v>0.1</v>
      </c>
      <c r="AH7" s="3" t="s">
        <v>36</v>
      </c>
      <c r="AI7" s="3" t="n">
        <v>513</v>
      </c>
      <c r="AJ7" s="25" t="n">
        <v>0.055</v>
      </c>
      <c r="AK7" s="3" t="n">
        <v>0.1</v>
      </c>
      <c r="AL7" s="3" t="s">
        <v>36</v>
      </c>
      <c r="AM7" s="3" t="n">
        <v>513</v>
      </c>
    </row>
    <row r="8" customFormat="false" ht="16.5" hidden="false" customHeight="true" outlineLevel="0" collapsed="false">
      <c r="A8" s="38" t="str">
        <f aca="false">IF(D8=F8,"Match","No match")</f>
        <v>Match</v>
      </c>
      <c r="C8" s="3" t="n">
        <v>3</v>
      </c>
      <c r="D8" s="3" t="s">
        <v>102</v>
      </c>
      <c r="E8" s="3" t="n">
        <v>4</v>
      </c>
      <c r="F8" s="3" t="s">
        <v>102</v>
      </c>
      <c r="G8" s="39" t="n">
        <f aca="false">0.5*AF8</f>
        <v>-0.13</v>
      </c>
      <c r="H8" s="40" t="n">
        <f aca="false">0.5*AG8</f>
        <v>0.025</v>
      </c>
      <c r="I8" s="41"/>
      <c r="J8" s="41"/>
      <c r="K8" s="40" t="n">
        <f aca="false">0.5*AJ8</f>
        <v>-0.13</v>
      </c>
      <c r="L8" s="40" t="n">
        <f aca="false">0.5*AK8</f>
        <v>0.025</v>
      </c>
      <c r="M8" s="41"/>
      <c r="N8" s="41"/>
      <c r="O8" s="41"/>
      <c r="P8" s="29" t="n">
        <v>0</v>
      </c>
      <c r="T8" s="29" t="n">
        <v>0</v>
      </c>
      <c r="X8" s="40" t="n">
        <f aca="false">0.5*AF8</f>
        <v>-0.13</v>
      </c>
      <c r="Y8" s="40" t="n">
        <f aca="false">0.5*AG8</f>
        <v>0.025</v>
      </c>
      <c r="Z8" s="41"/>
      <c r="AA8" s="41"/>
      <c r="AB8" s="29" t="n">
        <v>0</v>
      </c>
      <c r="AF8" s="3" t="n">
        <v>-0.26</v>
      </c>
      <c r="AG8" s="3" t="n">
        <v>0.05</v>
      </c>
      <c r="AH8" s="3" t="s">
        <v>36</v>
      </c>
      <c r="AI8" s="3" t="n">
        <v>489</v>
      </c>
      <c r="AJ8" s="3" t="n">
        <v>-0.26</v>
      </c>
      <c r="AK8" s="3" t="n">
        <v>0.05</v>
      </c>
      <c r="AL8" s="3" t="s">
        <v>36</v>
      </c>
      <c r="AM8" s="3" t="n">
        <v>489</v>
      </c>
    </row>
    <row r="9" customFormat="false" ht="16.5" hidden="false" customHeight="true" outlineLevel="0" collapsed="false">
      <c r="A9" s="38" t="str">
        <f aca="false">IF(D9=F9,"Match","No match")</f>
        <v>Match</v>
      </c>
      <c r="C9" s="3" t="n">
        <v>4</v>
      </c>
      <c r="D9" s="3" t="s">
        <v>106</v>
      </c>
      <c r="E9" s="3" t="n">
        <v>5</v>
      </c>
      <c r="F9" s="3" t="s">
        <v>106</v>
      </c>
      <c r="G9" s="3" t="n">
        <v>0</v>
      </c>
      <c r="K9" s="3" t="n">
        <v>0</v>
      </c>
      <c r="P9" s="29" t="n">
        <v>0</v>
      </c>
      <c r="X9" s="3" t="n">
        <v>-0.01</v>
      </c>
      <c r="Y9" s="3" t="n">
        <v>0.06</v>
      </c>
      <c r="Z9" s="3" t="s">
        <v>36</v>
      </c>
      <c r="AA9" s="3" t="n">
        <v>489</v>
      </c>
      <c r="AF9" s="41"/>
      <c r="AG9" s="41"/>
      <c r="AH9" s="41"/>
      <c r="AI9" s="41"/>
      <c r="AJ9" s="41"/>
      <c r="AK9" s="41"/>
    </row>
    <row r="10" customFormat="false" ht="16.5" hidden="false" customHeight="true" outlineLevel="0" collapsed="false">
      <c r="A10" s="38" t="str">
        <f aca="false">IF(D10=F10,"Match","No match")</f>
        <v>Match</v>
      </c>
      <c r="C10" s="3" t="n">
        <v>22</v>
      </c>
      <c r="D10" s="25" t="s">
        <v>186</v>
      </c>
      <c r="E10" s="3" t="n">
        <v>23</v>
      </c>
      <c r="F10" s="31" t="s">
        <v>186</v>
      </c>
      <c r="G10" s="25" t="n">
        <v>0</v>
      </c>
      <c r="K10" s="25" t="n">
        <v>0</v>
      </c>
      <c r="P10" s="29" t="n">
        <v>0</v>
      </c>
      <c r="X10" s="25" t="n">
        <v>-0.11</v>
      </c>
      <c r="Y10" s="3" t="n">
        <v>0.2</v>
      </c>
      <c r="Z10" s="3" t="s">
        <v>36</v>
      </c>
      <c r="AA10" s="3" t="n">
        <v>498</v>
      </c>
      <c r="AF10" s="41"/>
      <c r="AG10" s="41"/>
      <c r="AH10" s="41"/>
      <c r="AI10" s="41"/>
      <c r="AJ10" s="41"/>
      <c r="AK10" s="41"/>
    </row>
    <row r="11" customFormat="false" ht="16.5" hidden="false" customHeight="true" outlineLevel="0" collapsed="false">
      <c r="A11" s="38" t="str">
        <f aca="false">IF(D11=F11,"Match","No match")</f>
        <v>Match</v>
      </c>
      <c r="B11" s="3" t="s">
        <v>279</v>
      </c>
      <c r="D11" s="30" t="s">
        <v>66</v>
      </c>
      <c r="E11" s="3" t="n">
        <v>2</v>
      </c>
      <c r="F11" s="3" t="s">
        <v>66</v>
      </c>
      <c r="G11" s="3" t="n">
        <v>0.15</v>
      </c>
      <c r="H11" s="3" t="n">
        <v>0.02</v>
      </c>
      <c r="I11" s="3" t="s">
        <v>36</v>
      </c>
      <c r="J11" s="3" t="n">
        <v>511</v>
      </c>
      <c r="K11" s="20" t="n">
        <v>0.15</v>
      </c>
      <c r="L11" s="3" t="n">
        <v>0.02</v>
      </c>
      <c r="M11" s="3" t="s">
        <v>38</v>
      </c>
      <c r="N11" s="3" t="n">
        <v>511</v>
      </c>
      <c r="T11" s="29" t="n">
        <v>0</v>
      </c>
      <c r="X11" s="3" t="n">
        <v>0</v>
      </c>
      <c r="AB11" s="43" t="n">
        <v>0</v>
      </c>
      <c r="AF11" s="41"/>
      <c r="AG11" s="41"/>
      <c r="AH11" s="41"/>
      <c r="AI11" s="41"/>
      <c r="AJ11" s="41"/>
      <c r="AK11" s="41"/>
    </row>
    <row r="12" customFormat="false" ht="16.5" hidden="false" customHeight="true" outlineLevel="0" collapsed="false">
      <c r="A12" s="38" t="str">
        <f aca="false">IF(D12=F12,"Match","No match")</f>
        <v>Match</v>
      </c>
      <c r="C12" s="3" t="n">
        <v>5</v>
      </c>
      <c r="D12" s="3" t="s">
        <v>110</v>
      </c>
      <c r="E12" s="3" t="n">
        <v>6</v>
      </c>
      <c r="F12" s="3" t="s">
        <v>110</v>
      </c>
      <c r="G12" s="3" t="n">
        <v>0.34</v>
      </c>
      <c r="H12" s="3" t="n">
        <v>0.1</v>
      </c>
      <c r="I12" s="3" t="s">
        <v>36</v>
      </c>
      <c r="J12" s="3" t="n">
        <v>490</v>
      </c>
      <c r="K12" s="3" t="n">
        <v>0.34</v>
      </c>
      <c r="L12" s="3" t="n">
        <v>0.1</v>
      </c>
      <c r="M12" s="3" t="s">
        <v>36</v>
      </c>
      <c r="N12" s="3" t="n">
        <v>490</v>
      </c>
      <c r="T12" s="29" t="n">
        <v>0</v>
      </c>
      <c r="X12" s="3" t="n">
        <v>0</v>
      </c>
      <c r="AB12" s="43" t="n">
        <v>0</v>
      </c>
      <c r="AF12" s="41"/>
      <c r="AG12" s="41"/>
      <c r="AH12" s="41"/>
      <c r="AI12" s="41"/>
      <c r="AJ12" s="41"/>
      <c r="AK12" s="41"/>
    </row>
    <row r="13" customFormat="false" ht="16.5" hidden="false" customHeight="true" outlineLevel="0" collapsed="false">
      <c r="A13" s="38" t="str">
        <f aca="false">IF(D13=F13,"Match","No match")</f>
        <v>Match</v>
      </c>
      <c r="C13" s="3" t="n">
        <v>6</v>
      </c>
      <c r="D13" s="3" t="s">
        <v>115</v>
      </c>
      <c r="E13" s="3" t="n">
        <v>7</v>
      </c>
      <c r="F13" s="3" t="s">
        <v>115</v>
      </c>
      <c r="G13" s="3" t="n">
        <v>-0.5</v>
      </c>
      <c r="H13" s="3" t="n">
        <v>0.06</v>
      </c>
      <c r="I13" s="3" t="s">
        <v>36</v>
      </c>
      <c r="J13" s="3" t="n">
        <v>490</v>
      </c>
      <c r="K13" s="3" t="n">
        <v>-0.5</v>
      </c>
      <c r="L13" s="3" t="n">
        <v>0.06</v>
      </c>
      <c r="M13" s="3" t="s">
        <v>36</v>
      </c>
      <c r="N13" s="3" t="n">
        <v>490</v>
      </c>
      <c r="T13" s="29" t="n">
        <v>0</v>
      </c>
      <c r="X13" s="3" t="n">
        <v>0</v>
      </c>
      <c r="AB13" s="43" t="n">
        <v>0</v>
      </c>
      <c r="AF13" s="41"/>
      <c r="AG13" s="41"/>
      <c r="AH13" s="41"/>
      <c r="AI13" s="41"/>
      <c r="AJ13" s="41"/>
      <c r="AK13" s="41"/>
    </row>
    <row r="14" customFormat="false" ht="16.5" hidden="false" customHeight="true" outlineLevel="0" collapsed="false">
      <c r="A14" s="38" t="str">
        <f aca="false">IF(D14=F14,"Match","No match")</f>
        <v>Match</v>
      </c>
      <c r="C14" s="3" t="n">
        <v>7</v>
      </c>
      <c r="D14" s="3" t="s">
        <v>120</v>
      </c>
      <c r="E14" s="3" t="n">
        <v>8</v>
      </c>
      <c r="F14" s="3" t="s">
        <v>120</v>
      </c>
      <c r="G14" s="3" t="n">
        <v>-0.15</v>
      </c>
      <c r="H14" s="3" t="n">
        <v>0.06</v>
      </c>
      <c r="I14" s="3" t="s">
        <v>36</v>
      </c>
      <c r="J14" s="3" t="n">
        <v>491</v>
      </c>
      <c r="K14" s="3" t="n">
        <v>-0.15</v>
      </c>
      <c r="L14" s="3" t="n">
        <v>0.06</v>
      </c>
      <c r="M14" s="3" t="s">
        <v>36</v>
      </c>
      <c r="N14" s="3" t="n">
        <v>491</v>
      </c>
      <c r="T14" s="29" t="n">
        <v>0</v>
      </c>
      <c r="X14" s="3" t="n">
        <v>0</v>
      </c>
      <c r="AB14" s="43" t="n">
        <v>0</v>
      </c>
      <c r="AF14" s="41"/>
      <c r="AG14" s="41"/>
      <c r="AH14" s="41"/>
      <c r="AI14" s="41"/>
      <c r="AJ14" s="41"/>
      <c r="AK14" s="41"/>
    </row>
    <row r="15" customFormat="false" ht="16.5" hidden="false" customHeight="true" outlineLevel="0" collapsed="false">
      <c r="A15" s="38" t="str">
        <f aca="false">IF(D15=F15,"Match","No match")</f>
        <v>Match</v>
      </c>
      <c r="C15" s="3" t="n">
        <v>8</v>
      </c>
      <c r="D15" s="3" t="s">
        <v>125</v>
      </c>
      <c r="E15" s="3" t="n">
        <v>9</v>
      </c>
      <c r="F15" s="3" t="s">
        <v>125</v>
      </c>
      <c r="G15" s="3" t="n">
        <v>-0.63</v>
      </c>
      <c r="H15" s="3" t="n">
        <v>0.08</v>
      </c>
      <c r="I15" s="3" t="s">
        <v>36</v>
      </c>
      <c r="J15" s="3" t="n">
        <v>491</v>
      </c>
      <c r="K15" s="3" t="n">
        <v>-0.63</v>
      </c>
      <c r="L15" s="3" t="n">
        <v>0.08</v>
      </c>
      <c r="M15" s="3" t="s">
        <v>36</v>
      </c>
      <c r="N15" s="3" t="n">
        <v>491</v>
      </c>
      <c r="T15" s="29" t="n">
        <v>0</v>
      </c>
      <c r="X15" s="3" t="n">
        <v>0</v>
      </c>
      <c r="AB15" s="43" t="n">
        <v>0</v>
      </c>
      <c r="AF15" s="41"/>
      <c r="AG15" s="41"/>
      <c r="AH15" s="41"/>
      <c r="AI15" s="41"/>
      <c r="AJ15" s="41"/>
      <c r="AK15" s="41"/>
    </row>
    <row r="16" customFormat="false" ht="16.5" hidden="false" customHeight="true" outlineLevel="0" collapsed="false">
      <c r="A16" s="38" t="str">
        <f aca="false">IF(D16=F16,"Match","No match")</f>
        <v>Match</v>
      </c>
      <c r="C16" s="3" t="n">
        <v>9</v>
      </c>
      <c r="D16" s="3" t="s">
        <v>130</v>
      </c>
      <c r="E16" s="3" t="n">
        <v>10</v>
      </c>
      <c r="F16" s="3" t="s">
        <v>130</v>
      </c>
      <c r="G16" s="3" t="n">
        <v>0.04</v>
      </c>
      <c r="H16" s="3" t="n">
        <v>0.02</v>
      </c>
      <c r="I16" s="3" t="s">
        <v>36</v>
      </c>
      <c r="J16" s="3" t="n">
        <v>494</v>
      </c>
      <c r="K16" s="3" t="n">
        <v>0.04</v>
      </c>
      <c r="L16" s="3" t="n">
        <v>0.02</v>
      </c>
      <c r="M16" s="3" t="s">
        <v>36</v>
      </c>
      <c r="N16" s="3" t="n">
        <v>493</v>
      </c>
      <c r="T16" s="29" t="n">
        <v>0</v>
      </c>
      <c r="X16" s="3" t="n">
        <v>0</v>
      </c>
      <c r="AB16" s="43" t="n">
        <v>0</v>
      </c>
      <c r="AF16" s="41"/>
      <c r="AG16" s="41"/>
      <c r="AH16" s="41"/>
      <c r="AI16" s="41"/>
      <c r="AJ16" s="41"/>
      <c r="AK16" s="41"/>
    </row>
    <row r="17" customFormat="false" ht="16.5" hidden="false" customHeight="true" outlineLevel="0" collapsed="false">
      <c r="A17" s="38" t="str">
        <f aca="false">IF(D17=F17,"Match","No match")</f>
        <v>Match</v>
      </c>
      <c r="C17" s="3" t="n">
        <v>10</v>
      </c>
      <c r="D17" s="3" t="s">
        <v>135</v>
      </c>
      <c r="E17" s="3" t="n">
        <v>11</v>
      </c>
      <c r="F17" s="3" t="s">
        <v>135</v>
      </c>
      <c r="G17" s="39" t="n">
        <f aca="false">0.5*AF17</f>
        <v>-0.025</v>
      </c>
      <c r="H17" s="40" t="n">
        <f aca="false">0.5*AG17</f>
        <v>0.015</v>
      </c>
      <c r="I17" s="41"/>
      <c r="J17" s="41"/>
      <c r="K17" s="40" t="n">
        <f aca="false">0.5*AJ17</f>
        <v>-0.025</v>
      </c>
      <c r="L17" s="40" t="n">
        <f aca="false">0.5*AK17</f>
        <v>0.015</v>
      </c>
      <c r="M17" s="41"/>
      <c r="N17" s="41"/>
      <c r="O17" s="41"/>
      <c r="P17" s="29" t="n">
        <v>0</v>
      </c>
      <c r="T17" s="29" t="n">
        <v>0</v>
      </c>
      <c r="X17" s="40" t="n">
        <f aca="false">0.5*AF17</f>
        <v>-0.025</v>
      </c>
      <c r="Y17" s="40" t="n">
        <f aca="false">0.5*AG17</f>
        <v>0.015</v>
      </c>
      <c r="Z17" s="41"/>
      <c r="AA17" s="41"/>
      <c r="AB17" s="29" t="n">
        <v>0</v>
      </c>
      <c r="AF17" s="3" t="n">
        <v>-0.05</v>
      </c>
      <c r="AG17" s="3" t="n">
        <v>0.03</v>
      </c>
      <c r="AH17" s="3" t="s">
        <v>36</v>
      </c>
      <c r="AI17" s="3" t="n">
        <v>494</v>
      </c>
      <c r="AJ17" s="3" t="n">
        <v>-0.05</v>
      </c>
      <c r="AK17" s="3" t="n">
        <v>0.03</v>
      </c>
      <c r="AL17" s="3" t="s">
        <v>36</v>
      </c>
      <c r="AM17" s="3" t="n">
        <v>493</v>
      </c>
    </row>
    <row r="18" customFormat="false" ht="16.5" hidden="false" customHeight="true" outlineLevel="0" collapsed="false">
      <c r="A18" s="38" t="str">
        <f aca="false">IF(D18=F18,"Match","No match")</f>
        <v>Match</v>
      </c>
      <c r="C18" s="3" t="n">
        <v>11</v>
      </c>
      <c r="D18" s="3" t="s">
        <v>139</v>
      </c>
      <c r="E18" s="3" t="n">
        <v>12</v>
      </c>
      <c r="F18" s="3" t="s">
        <v>139</v>
      </c>
      <c r="G18" s="3" t="n">
        <v>0</v>
      </c>
      <c r="K18" s="3" t="n">
        <v>0</v>
      </c>
      <c r="P18" s="29" t="n">
        <v>0</v>
      </c>
      <c r="X18" s="3" t="n">
        <v>-0.08</v>
      </c>
      <c r="Y18" s="3" t="n">
        <v>0.04</v>
      </c>
      <c r="Z18" s="3" t="s">
        <v>36</v>
      </c>
      <c r="AA18" s="3" t="n">
        <v>493</v>
      </c>
      <c r="AF18" s="41"/>
      <c r="AG18" s="41"/>
      <c r="AH18" s="41"/>
      <c r="AI18" s="41"/>
      <c r="AJ18" s="41"/>
      <c r="AK18" s="41"/>
    </row>
    <row r="19" customFormat="false" ht="16.5" hidden="false" customHeight="true" outlineLevel="0" collapsed="false">
      <c r="A19" s="38" t="str">
        <f aca="false">IF(D19=F19,"Match","No match")</f>
        <v>Match</v>
      </c>
      <c r="C19" s="3" t="n">
        <v>12</v>
      </c>
      <c r="D19" s="25" t="s">
        <v>143</v>
      </c>
      <c r="E19" s="3" t="n">
        <v>13</v>
      </c>
      <c r="F19" s="25" t="s">
        <v>143</v>
      </c>
      <c r="G19" s="25" t="n">
        <v>0</v>
      </c>
      <c r="K19" s="25" t="n">
        <v>0</v>
      </c>
      <c r="P19" s="29" t="n">
        <v>0</v>
      </c>
      <c r="X19" s="25" t="n">
        <v>-0.1</v>
      </c>
      <c r="Y19" s="3" t="n">
        <v>0.1</v>
      </c>
      <c r="Z19" s="3" t="s">
        <v>36</v>
      </c>
      <c r="AA19" s="3" t="n">
        <v>512</v>
      </c>
      <c r="AF19" s="41"/>
      <c r="AG19" s="41"/>
      <c r="AH19" s="41"/>
      <c r="AI19" s="41"/>
      <c r="AJ19" s="41"/>
      <c r="AK19" s="41"/>
    </row>
    <row r="20" customFormat="false" ht="16.5" hidden="false" customHeight="true" outlineLevel="0" collapsed="false">
      <c r="A20" s="38" t="str">
        <f aca="false">IF(D20=F20,"Match","No match")</f>
        <v>Match</v>
      </c>
      <c r="C20" s="3" t="n">
        <v>13</v>
      </c>
      <c r="D20" s="3" t="s">
        <v>148</v>
      </c>
      <c r="E20" s="3" t="n">
        <v>14</v>
      </c>
      <c r="F20" s="3" t="s">
        <v>148</v>
      </c>
      <c r="G20" s="39" t="n">
        <f aca="false">0.5*AF20</f>
        <v>0</v>
      </c>
      <c r="H20" s="40" t="n">
        <f aca="false">0.5*AG20</f>
        <v>0.05</v>
      </c>
      <c r="I20" s="41"/>
      <c r="J20" s="41"/>
      <c r="K20" s="40" t="n">
        <f aca="false">0.5*AJ20</f>
        <v>0</v>
      </c>
      <c r="L20" s="40" t="n">
        <f aca="false">0.5*AK20</f>
        <v>0.05</v>
      </c>
      <c r="M20" s="41"/>
      <c r="N20" s="41"/>
      <c r="O20" s="41"/>
      <c r="P20" s="29" t="n">
        <v>0</v>
      </c>
      <c r="T20" s="29" t="n">
        <v>0</v>
      </c>
      <c r="X20" s="40" t="n">
        <f aca="false">0.5*AF20</f>
        <v>0</v>
      </c>
      <c r="Y20" s="40" t="n">
        <f aca="false">0.5*AG20</f>
        <v>0.05</v>
      </c>
      <c r="Z20" s="41"/>
      <c r="AA20" s="41"/>
      <c r="AB20" s="29" t="n">
        <v>0</v>
      </c>
      <c r="AF20" s="3" t="n">
        <v>0</v>
      </c>
      <c r="AG20" s="3" t="n">
        <v>0.1</v>
      </c>
      <c r="AH20" s="3" t="s">
        <v>36</v>
      </c>
      <c r="AI20" s="3" t="n">
        <v>512</v>
      </c>
      <c r="AJ20" s="3" t="n">
        <v>0</v>
      </c>
      <c r="AK20" s="3" t="n">
        <v>0.1</v>
      </c>
      <c r="AL20" s="3" t="s">
        <v>36</v>
      </c>
      <c r="AM20" s="3" t="n">
        <v>512</v>
      </c>
    </row>
    <row r="21" customFormat="false" ht="16.5" hidden="false" customHeight="true" outlineLevel="0" collapsed="false">
      <c r="A21" s="38" t="str">
        <f aca="false">IF(D21=F21,"Match","No match")</f>
        <v>Match</v>
      </c>
      <c r="C21" s="3" t="n">
        <v>20</v>
      </c>
      <c r="D21" s="25" t="s">
        <v>178</v>
      </c>
      <c r="E21" s="3" t="n">
        <v>21</v>
      </c>
      <c r="F21" s="25" t="s">
        <v>178</v>
      </c>
      <c r="G21" s="25" t="n">
        <v>0.2</v>
      </c>
      <c r="H21" s="3" t="n">
        <v>0.1</v>
      </c>
      <c r="I21" s="3" t="s">
        <v>36</v>
      </c>
      <c r="J21" s="3" t="n">
        <v>513</v>
      </c>
      <c r="K21" s="25" t="n">
        <v>0.2</v>
      </c>
      <c r="L21" s="3" t="n">
        <v>0.1</v>
      </c>
      <c r="M21" s="3" t="s">
        <v>36</v>
      </c>
      <c r="N21" s="3" t="n">
        <v>513</v>
      </c>
      <c r="T21" s="29" t="n">
        <v>0</v>
      </c>
      <c r="X21" s="25" t="n">
        <v>0</v>
      </c>
      <c r="AB21" s="43" t="n">
        <v>0</v>
      </c>
      <c r="AF21" s="41"/>
      <c r="AG21" s="41"/>
      <c r="AH21" s="41"/>
      <c r="AI21" s="41"/>
      <c r="AJ21" s="41"/>
      <c r="AK21" s="41"/>
    </row>
    <row r="22" customFormat="false" ht="16.5" hidden="false" customHeight="true" outlineLevel="0" collapsed="false">
      <c r="A22" s="38" t="str">
        <f aca="false">IF(D22=F22,"Match","No match")</f>
        <v>Match</v>
      </c>
      <c r="C22" s="3" t="n">
        <v>15</v>
      </c>
      <c r="D22" s="3" t="s">
        <v>156</v>
      </c>
      <c r="E22" s="3" t="n">
        <v>16</v>
      </c>
      <c r="F22" s="3" t="s">
        <v>156</v>
      </c>
      <c r="G22" s="3" t="n">
        <v>0.2</v>
      </c>
      <c r="H22" s="3" t="n">
        <v>0.1</v>
      </c>
      <c r="I22" s="3" t="s">
        <v>36</v>
      </c>
      <c r="J22" s="3" t="n">
        <v>512</v>
      </c>
      <c r="K22" s="3" t="n">
        <v>0.2</v>
      </c>
      <c r="L22" s="3" t="n">
        <v>0.1</v>
      </c>
      <c r="M22" s="3" t="s">
        <v>36</v>
      </c>
      <c r="N22" s="3" t="n">
        <v>512</v>
      </c>
      <c r="T22" s="29" t="n">
        <v>0</v>
      </c>
      <c r="X22" s="3" t="n">
        <v>0</v>
      </c>
      <c r="AB22" s="43" t="n">
        <v>0</v>
      </c>
      <c r="AF22" s="41"/>
      <c r="AG22" s="41"/>
      <c r="AH22" s="41"/>
      <c r="AI22" s="41"/>
      <c r="AJ22" s="41"/>
      <c r="AK22" s="41"/>
    </row>
    <row r="23" customFormat="false" ht="16.5" hidden="false" customHeight="true" outlineLevel="0" collapsed="false">
      <c r="A23" s="38" t="str">
        <f aca="false">IF(D23=F23,"Match","No match")</f>
        <v>Match</v>
      </c>
      <c r="C23" s="3" t="n">
        <v>18</v>
      </c>
      <c r="D23" s="3" t="s">
        <v>168</v>
      </c>
      <c r="E23" s="3" t="n">
        <v>19</v>
      </c>
      <c r="F23" s="3" t="s">
        <v>168</v>
      </c>
      <c r="G23" s="39" t="n">
        <f aca="false">0.5*AF23</f>
        <v>0</v>
      </c>
      <c r="H23" s="40" t="n">
        <f aca="false">0.5*AG23</f>
        <v>0.05</v>
      </c>
      <c r="I23" s="41"/>
      <c r="J23" s="41"/>
      <c r="K23" s="40" t="n">
        <f aca="false">0.5*AJ23</f>
        <v>0</v>
      </c>
      <c r="L23" s="40" t="n">
        <f aca="false">0.5*AK23</f>
        <v>0.05</v>
      </c>
      <c r="M23" s="41"/>
      <c r="N23" s="41"/>
      <c r="O23" s="41"/>
      <c r="P23" s="29" t="n">
        <v>0</v>
      </c>
      <c r="T23" s="29" t="n">
        <v>0</v>
      </c>
      <c r="X23" s="40" t="n">
        <f aca="false">0.5*AF23</f>
        <v>0</v>
      </c>
      <c r="Y23" s="40" t="n">
        <f aca="false">0.5*AG23</f>
        <v>0.05</v>
      </c>
      <c r="Z23" s="41"/>
      <c r="AA23" s="41"/>
      <c r="AB23" s="29" t="n">
        <v>0</v>
      </c>
      <c r="AF23" s="3" t="n">
        <v>0</v>
      </c>
      <c r="AG23" s="3" t="n">
        <v>0.1</v>
      </c>
      <c r="AH23" s="3" t="s">
        <v>36</v>
      </c>
      <c r="AI23" s="3" t="n">
        <v>513</v>
      </c>
      <c r="AJ23" s="3" t="n">
        <v>0</v>
      </c>
      <c r="AK23" s="3" t="n">
        <v>0.1</v>
      </c>
      <c r="AL23" s="3" t="s">
        <v>36</v>
      </c>
      <c r="AM23" s="3" t="n">
        <v>513</v>
      </c>
    </row>
    <row r="24" customFormat="false" ht="16.5" hidden="false" customHeight="true" outlineLevel="0" collapsed="false">
      <c r="A24" s="38" t="str">
        <f aca="false">IF(D24=F24,"Match","No match")</f>
        <v>Match</v>
      </c>
      <c r="C24" s="3" t="n">
        <v>2</v>
      </c>
      <c r="D24" s="3" t="s">
        <v>95</v>
      </c>
      <c r="E24" s="3" t="n">
        <v>3</v>
      </c>
      <c r="F24" s="3" t="s">
        <v>95</v>
      </c>
      <c r="G24" s="3" t="n">
        <v>-0.05</v>
      </c>
      <c r="H24" s="3" t="n">
        <v>0.05</v>
      </c>
      <c r="I24" s="3" t="s">
        <v>36</v>
      </c>
      <c r="J24" s="3" t="n">
        <v>488</v>
      </c>
      <c r="K24" s="3" t="n">
        <v>-0.05</v>
      </c>
      <c r="L24" s="3" t="n">
        <v>0.05</v>
      </c>
      <c r="M24" s="3" t="s">
        <v>36</v>
      </c>
      <c r="N24" s="3" t="n">
        <v>488</v>
      </c>
      <c r="T24" s="29" t="n">
        <v>0</v>
      </c>
      <c r="X24" s="3" t="n">
        <v>0</v>
      </c>
      <c r="AB24" s="43" t="n">
        <v>0</v>
      </c>
      <c r="AF24" s="41"/>
      <c r="AG24" s="41"/>
      <c r="AH24" s="41"/>
      <c r="AI24" s="41"/>
      <c r="AJ24" s="41"/>
      <c r="AK24" s="41"/>
    </row>
    <row r="25" customFormat="false" ht="16.5" hidden="false" customHeight="true" outlineLevel="0" collapsed="false">
      <c r="A25" s="38" t="str">
        <f aca="false">IF(D25=F25,"Match","No match")</f>
        <v>Match</v>
      </c>
      <c r="C25" s="3" t="n">
        <v>24</v>
      </c>
      <c r="D25" s="25" t="s">
        <v>197</v>
      </c>
      <c r="E25" s="3" t="n">
        <v>25</v>
      </c>
      <c r="F25" s="25" t="s">
        <v>197</v>
      </c>
      <c r="G25" s="25" t="n">
        <v>0</v>
      </c>
      <c r="K25" s="25" t="n">
        <v>0</v>
      </c>
      <c r="P25" s="29" t="n">
        <v>0</v>
      </c>
      <c r="X25" s="25" t="n">
        <v>0.08</v>
      </c>
      <c r="Y25" s="3" t="n">
        <v>0.1</v>
      </c>
      <c r="Z25" s="3" t="s">
        <v>36</v>
      </c>
      <c r="AA25" s="3" t="n">
        <v>513</v>
      </c>
      <c r="AF25" s="41"/>
      <c r="AG25" s="41"/>
      <c r="AH25" s="41"/>
      <c r="AI25" s="41"/>
      <c r="AJ25" s="41"/>
      <c r="AK25" s="41"/>
    </row>
    <row r="26" customFormat="false" ht="16.5" hidden="false" customHeight="true" outlineLevel="0" collapsed="false">
      <c r="A26" s="38" t="str">
        <f aca="false">IF(D26=F26,"Match","No match")</f>
        <v>Match</v>
      </c>
      <c r="C26" s="3" t="n">
        <v>21</v>
      </c>
      <c r="D26" s="3" t="s">
        <v>182</v>
      </c>
      <c r="E26" s="3" t="n">
        <v>22</v>
      </c>
      <c r="F26" s="3" t="s">
        <v>182</v>
      </c>
      <c r="G26" s="39" t="n">
        <f aca="false">0.5*AF26</f>
        <v>0.025</v>
      </c>
      <c r="H26" s="40" t="n">
        <f aca="false">0.5*AG26</f>
        <v>0.035</v>
      </c>
      <c r="I26" s="41"/>
      <c r="J26" s="41"/>
      <c r="K26" s="40" t="n">
        <f aca="false">0.5*AJ26</f>
        <v>0.025</v>
      </c>
      <c r="L26" s="40" t="n">
        <f aca="false">0.5*AK26</f>
        <v>0.035</v>
      </c>
      <c r="M26" s="41"/>
      <c r="N26" s="41"/>
      <c r="O26" s="41"/>
      <c r="P26" s="29" t="n">
        <v>0</v>
      </c>
      <c r="T26" s="29" t="n">
        <v>0</v>
      </c>
      <c r="X26" s="40" t="n">
        <f aca="false">0.5*AF26</f>
        <v>0.025</v>
      </c>
      <c r="Y26" s="40" t="n">
        <f aca="false">0.5*AG26</f>
        <v>0.035</v>
      </c>
      <c r="Z26" s="41"/>
      <c r="AA26" s="41"/>
      <c r="AB26" s="29" t="n">
        <v>0</v>
      </c>
      <c r="AF26" s="3" t="n">
        <v>0.05</v>
      </c>
      <c r="AG26" s="3" t="n">
        <v>0.07</v>
      </c>
      <c r="AH26" s="3" t="s">
        <v>36</v>
      </c>
      <c r="AI26" s="3" t="n">
        <v>498</v>
      </c>
      <c r="AJ26" s="3" t="n">
        <v>0.05</v>
      </c>
      <c r="AK26" s="3" t="n">
        <v>0.07</v>
      </c>
      <c r="AL26" s="3" t="s">
        <v>36</v>
      </c>
      <c r="AM26" s="3" t="n">
        <v>498</v>
      </c>
    </row>
    <row r="27" customFormat="false" ht="15" hidden="false" customHeight="false" outlineLevel="0" collapsed="false">
      <c r="D27" s="25"/>
    </row>
    <row r="35" customFormat="false" ht="15" hidden="false" customHeight="false" outlineLevel="0" collapsed="false">
      <c r="F35" s="40" t="s">
        <v>102</v>
      </c>
      <c r="G35" s="3" t="s">
        <v>280</v>
      </c>
    </row>
    <row r="36" customFormat="false" ht="15" hidden="false" customHeight="false" outlineLevel="0" collapsed="false">
      <c r="F36" s="40" t="s">
        <v>135</v>
      </c>
    </row>
    <row r="37" customFormat="false" ht="15" hidden="false" customHeight="false" outlineLevel="0" collapsed="false">
      <c r="F37" s="40" t="s">
        <v>281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2020-04-21T11:57:55Z</dcterms:created>
  <dc:creator>Tres</dc:creator>
  <dc:description/>
  <dc:language>en-US</dc:language>
  <cp:lastModifiedBy/>
  <dcterms:modified xsi:type="dcterms:W3CDTF">2024-12-05T10:22:19Z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